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showInkAnnotation="0"/>
  <mc:AlternateContent xmlns:mc="http://schemas.openxmlformats.org/markup-compatibility/2006">
    <mc:Choice Requires="x15">
      <x15ac:absPath xmlns:x15ac="http://schemas.microsoft.com/office/spreadsheetml/2010/11/ac" url="https://toptionasia.sharepoint.com/sites/ToptionAsia/Shared Documents/Toption (Asia)/3. Toption (Asia)-Other customer/2. Seametrics/1. Inquiry/T26010-SE/Quote/Quote to Seametrics/"/>
    </mc:Choice>
  </mc:AlternateContent>
  <xr:revisionPtr revIDLastSave="790" documentId="8_{A5D520D9-D132-4B71-A924-7E4384012598}" xr6:coauthVersionLast="47" xr6:coauthVersionMax="47" xr10:uidLastSave="{A0AC0E9A-EE94-4CBF-9DDE-E07B60B8AD67}"/>
  <bookViews>
    <workbookView xWindow="0" yWindow="500" windowWidth="23260" windowHeight="13900" xr2:uid="{89015A97-B59B-4574-98E2-711460A5B577}"/>
  </bookViews>
  <sheets>
    <sheet name="Quotation" sheetId="6" r:id="rId1"/>
    <sheet name="Sheet1" sheetId="9" r:id="rId2"/>
    <sheet name="Gage List" sheetId="7" state="hidden" r:id="rId3"/>
  </sheets>
  <definedNames>
    <definedName name="_xlnm.Print_Area" localSheetId="2">'Gage List'!$A$1:$C$10</definedName>
    <definedName name="_xlnm.Print_Area" localSheetId="0">Quotation!$A$1:$M$44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6" i="6" l="1"/>
  <c r="M16" i="6"/>
  <c r="W16" i="6"/>
  <c r="V16" i="6"/>
  <c r="AH16" i="6"/>
  <c r="AF16" i="6"/>
  <c r="AB16" i="6"/>
  <c r="I16" i="6"/>
  <c r="S16" i="6"/>
  <c r="R16" i="6"/>
  <c r="G21" i="6"/>
  <c r="G23" i="6"/>
  <c r="W11" i="6"/>
  <c r="W17" i="6"/>
  <c r="M17" i="6" s="1"/>
  <c r="AH17" i="6" s="1"/>
  <c r="V17" i="6"/>
  <c r="R17" i="6"/>
  <c r="S17" i="6" s="1"/>
  <c r="W15" i="6"/>
  <c r="M15" i="6" s="1"/>
  <c r="AH15" i="6" s="1"/>
  <c r="W18" i="6"/>
  <c r="M18" i="6" s="1"/>
  <c r="AH18" i="6" s="1"/>
  <c r="W19" i="6"/>
  <c r="M19" i="6" s="1"/>
  <c r="AH19" i="6" s="1"/>
  <c r="V19" i="6"/>
  <c r="V18" i="6"/>
  <c r="V15" i="6"/>
  <c r="R19" i="6"/>
  <c r="S19" i="6" s="1"/>
  <c r="R18" i="6"/>
  <c r="S18" i="6" s="1"/>
  <c r="R15" i="6"/>
  <c r="S15" i="6" s="1"/>
  <c r="J39" i="6"/>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2" i="9"/>
  <c r="G29" i="6" l="1"/>
  <c r="Q20" i="6"/>
  <c r="Q34" i="6"/>
  <c r="AB17" i="6"/>
  <c r="I17" i="6" s="1"/>
  <c r="AF17" i="6" s="1"/>
  <c r="AI17" i="6" s="1"/>
  <c r="AB19" i="6"/>
  <c r="I19" i="6" s="1"/>
  <c r="AF19" i="6" s="1"/>
  <c r="AI19" i="6" s="1"/>
  <c r="AB15" i="6"/>
  <c r="I15" i="6" s="1"/>
  <c r="AB18" i="6"/>
  <c r="AA21" i="6" s="1"/>
  <c r="I18" i="6"/>
  <c r="AF18" i="6"/>
  <c r="AI18" i="6"/>
  <c r="AF15" i="6" l="1"/>
  <c r="AF21" i="6"/>
  <c r="R20" i="6"/>
  <c r="AE21" i="6" l="1"/>
  <c r="AI15" i="6"/>
  <c r="AJ15" i="6" s="1"/>
  <c r="AH21" i="6" l="1"/>
  <c r="T34" i="6"/>
</calcChain>
</file>

<file path=xl/sharedStrings.xml><?xml version="1.0" encoding="utf-8"?>
<sst xmlns="http://schemas.openxmlformats.org/spreadsheetml/2006/main" count="289" uniqueCount="183">
  <si>
    <t>Toption (Asia) Company Limited</t>
  </si>
  <si>
    <t>Address: Room 606, No. 02 Nguyen Khac Vien Street, Tan My Ward, District 7, Ho Chi Minh City, Vietnam</t>
  </si>
  <si>
    <t>Email:business@toptionasia.com</t>
  </si>
  <si>
    <t>QUOTATION SHEET</t>
  </si>
  <si>
    <t>1.)Inquiry No#:</t>
  </si>
  <si>
    <t>T26004-SE</t>
  </si>
  <si>
    <t>2.) Quotation Date:</t>
  </si>
  <si>
    <t>Factory Name:</t>
  </si>
  <si>
    <t>PAPM</t>
  </si>
  <si>
    <t># of Parts</t>
  </si>
  <si>
    <t xml:space="preserve"> </t>
  </si>
  <si>
    <t>Item</t>
  </si>
  <si>
    <t>P/N</t>
  </si>
  <si>
    <t>Cast DWG#</t>
  </si>
  <si>
    <t>Mach DWG#</t>
  </si>
  <si>
    <t>DESCRIPTION OF GOODS</t>
  </si>
  <si>
    <t xml:space="preserve">M'TL </t>
  </si>
  <si>
    <t xml:space="preserve">QTY/
PCS </t>
  </si>
  <si>
    <t>Unit Pricing FOB</t>
  </si>
  <si>
    <t>Factory weight (KG)</t>
  </si>
  <si>
    <t>Other/Finish</t>
  </si>
  <si>
    <t>Pressure Testing</t>
  </si>
  <si>
    <t>Tooling Fee</t>
  </si>
  <si>
    <t>Factory Quotation</t>
  </si>
  <si>
    <t>Export Fees &amp; Inspection ($500)</t>
  </si>
  <si>
    <t>Toption Asia Margins</t>
  </si>
  <si>
    <t>Price Difference/Profit</t>
  </si>
  <si>
    <t>Toption net profit
(+ tax refund &amp; miscellaneous fees)</t>
  </si>
  <si>
    <t>Total Profit</t>
  </si>
  <si>
    <t>Unit Price (VND)</t>
  </si>
  <si>
    <t>Unit Price include VAT (VND)</t>
  </si>
  <si>
    <t>Unit Price USD</t>
  </si>
  <si>
    <t>Sample Fee</t>
  </si>
  <si>
    <t>Mold Fee (VND)</t>
  </si>
  <si>
    <t>Mold Fee (VND) VAT</t>
  </si>
  <si>
    <t>Mold Fee</t>
  </si>
  <si>
    <t>Local Fee</t>
  </si>
  <si>
    <t>Sample Courier Fee</t>
  </si>
  <si>
    <t>COO Fee</t>
  </si>
  <si>
    <t>Thread Gauge Tariff</t>
  </si>
  <si>
    <t>Total Markup/Unit</t>
  </si>
  <si>
    <t>Unit Price</t>
  </si>
  <si>
    <t>Sample Fee (*10 pcs)</t>
  </si>
  <si>
    <t>005-103964-01-01</t>
  </si>
  <si>
    <t>/</t>
  </si>
  <si>
    <t>103964
REV.F</t>
  </si>
  <si>
    <t>HOUSING, iMag 2.2, Machined</t>
  </si>
  <si>
    <t>A360</t>
  </si>
  <si>
    <t>1) Plating: Chemical film coating per MIL-DTL-5541F Type II, RoHS compliant.
2) Powder Coat: 1PC-019-1222 fitting white.</t>
  </si>
  <si>
    <t>100% vacuum test required: Vacuum &gt;25 in-Hg MIN, hold for 30 seconds.</t>
  </si>
  <si>
    <t>005-103965-01-01</t>
  </si>
  <si>
    <t>103965
REV.E</t>
  </si>
  <si>
    <t>Housing, iMag 2.2 Remote, Machined - White</t>
  </si>
  <si>
    <t>005-103966-01-02</t>
  </si>
  <si>
    <t>103966
REV.G</t>
  </si>
  <si>
    <t>Cover, iMag 2.2, Black</t>
  </si>
  <si>
    <t>1) Plating: Chemical film coating per MIL-DTL-5541F Type II, RoHS compliant.
2) Powder Coat: Tiger textured black, 409-80440 / RAL 9005, textured surface finish.</t>
  </si>
  <si>
    <t>005-103967-01</t>
  </si>
  <si>
    <t>103966-01-01
Casting Drawing 103966
Rev.G</t>
  </si>
  <si>
    <t>103967
REV.H</t>
  </si>
  <si>
    <t>Cover Assy, iMAG 2.2, Window, Blue</t>
  </si>
  <si>
    <t>1) Plating: Chemical film coating per MIL-DTL-5541F Type II, RoHS compliant.
2) Powder Coat: Protech textured mercury blue, HT312B79, textured surface finish.</t>
  </si>
  <si>
    <t>005-103967-08</t>
  </si>
  <si>
    <t>103966-01-10
Casting Drawing 103966 
Rev.G</t>
  </si>
  <si>
    <t>Cover Assy, AG, Window, Val Blue, Captive</t>
  </si>
  <si>
    <t>1) Plating: Chemical film coating per MIL-DTL-5541F Type II, RoHS compliant.
2) Powder Coat: Pantone Process Blue C.</t>
  </si>
  <si>
    <t>NOTE:</t>
  </si>
  <si>
    <t>The quote is based on the estimated weight by the factory and the final cost will be adjusted accordingly if the difference between the actual weight and the estimated weight exceeds 3%.</t>
  </si>
  <si>
    <t>Total Fty Order:</t>
  </si>
  <si>
    <t>CHECK</t>
  </si>
  <si>
    <t>Total Profit Check</t>
  </si>
  <si>
    <t>3.) Sample Lead-Time:</t>
  </si>
  <si>
    <t>Days</t>
  </si>
  <si>
    <t>Export/Inspection Fees</t>
  </si>
  <si>
    <t>Unit Price Profit (after exp/insp. fees)</t>
  </si>
  <si>
    <t>Ex Rate</t>
  </si>
  <si>
    <t>1USD=</t>
  </si>
  <si>
    <t>VND</t>
  </si>
  <si>
    <t>4.) Production Lead-Time:</t>
  </si>
  <si>
    <t>Payment:</t>
  </si>
  <si>
    <t>1. Mold Fee:</t>
  </si>
  <si>
    <t xml:space="preserve">2. Batch Payment: </t>
  </si>
  <si>
    <t>3. Sample Fee Payment</t>
  </si>
  <si>
    <t xml:space="preserve">Quality: </t>
  </si>
  <si>
    <t xml:space="preserve">Sample Fee: </t>
  </si>
  <si>
    <t>pcs/model</t>
  </si>
  <si>
    <t>kg</t>
  </si>
  <si>
    <t>Estimated DHL Cost</t>
  </si>
  <si>
    <t>Equivalent in USD</t>
  </si>
  <si>
    <t>USD</t>
  </si>
  <si>
    <t>5.) Validity:</t>
  </si>
  <si>
    <t>COO Fee:</t>
  </si>
  <si>
    <t>Local Fees:</t>
  </si>
  <si>
    <t>Calculated Weight Based on RFQ Quantity (kg)</t>
  </si>
  <si>
    <t>Estimated Local Cost</t>
  </si>
  <si>
    <t>Other:</t>
  </si>
  <si>
    <r>
      <rPr>
        <b/>
        <sz val="12"/>
        <color rgb="FF000000"/>
        <rFont val="Arial"/>
        <family val="2"/>
      </rPr>
      <t>6.</t>
    </r>
    <r>
      <rPr>
        <b/>
        <sz val="12"/>
        <color rgb="FF000000"/>
        <rFont val="宋体"/>
        <charset val="134"/>
      </rPr>
      <t>）</t>
    </r>
    <r>
      <rPr>
        <b/>
        <sz val="12"/>
        <color rgb="FF000000"/>
        <rFont val="Arial"/>
        <family val="2"/>
      </rPr>
      <t>Other:</t>
    </r>
  </si>
  <si>
    <t xml:space="preserve">1 USD= </t>
  </si>
  <si>
    <t>Sample charge will apply.</t>
  </si>
  <si>
    <t>The production order is needed for the factory to proceed with sampling preparation.</t>
  </si>
  <si>
    <t>Our quotation does not include import tariffs for imported thread gauges. If the final tariffs are paid by Toption (Asia), we will issue the corresponding invoice for payment.</t>
  </si>
  <si>
    <t>Price is FOB included.
Payment: 30 days from the invoice date for Air Shipments, 60 days from the invoice date for Sea Shipments.</t>
  </si>
  <si>
    <t>our desired total - 500 = 1.25(factory)</t>
  </si>
  <si>
    <t>our actual order total:</t>
  </si>
  <si>
    <t>Signature:</t>
  </si>
  <si>
    <t>Date:</t>
  </si>
  <si>
    <t>DWG#</t>
  </si>
  <si>
    <t>MTL</t>
  </si>
  <si>
    <t>QTY / PCS</t>
  </si>
  <si>
    <t>Finish</t>
  </si>
  <si>
    <t>WT (g/pc)</t>
  </si>
  <si>
    <t>B32255/B32308</t>
  </si>
  <si>
    <t>12 BRS BODY MACH 44</t>
  </si>
  <si>
    <t>Brass C37700</t>
  </si>
  <si>
    <t>B32256/B32309</t>
  </si>
  <si>
    <t>15 BRS BODY MACH 44</t>
  </si>
  <si>
    <t>B33056</t>
  </si>
  <si>
    <t>07 BRASS BODY SE D44</t>
  </si>
  <si>
    <t>B33073/B33043</t>
  </si>
  <si>
    <t>F000172821</t>
  </si>
  <si>
    <t>07 BRASS BODY MACH C44</t>
  </si>
  <si>
    <t>B33075/B33045</t>
  </si>
  <si>
    <t>10 BRASS BODY MACH C44</t>
  </si>
  <si>
    <t>B33076/B33046</t>
  </si>
  <si>
    <t>15 BRASS BODY MACH C44</t>
  </si>
  <si>
    <t>B33077/B33047</t>
  </si>
  <si>
    <t>20 BRASS BODY MACH C44</t>
  </si>
  <si>
    <t>B32257/B32310</t>
  </si>
  <si>
    <t>20 BRS BODY MACH 44</t>
  </si>
  <si>
    <t>B32576/B32332</t>
  </si>
  <si>
    <t>10 BRS PE MACH SE 59</t>
  </si>
  <si>
    <t>B32254/B32307</t>
  </si>
  <si>
    <t>10 BRS BODY MACH 44</t>
  </si>
  <si>
    <t>F00460843</t>
  </si>
  <si>
    <t>10 BRASS BODY W/ SEAL</t>
  </si>
  <si>
    <t>B32253/B32306</t>
  </si>
  <si>
    <t>07 BRS BODY MACH 44</t>
  </si>
  <si>
    <t>F00460287</t>
  </si>
  <si>
    <t>05 BRASS BODY W/ SEAL</t>
  </si>
  <si>
    <t>B33052</t>
  </si>
  <si>
    <t>20 BRASS BODY FORG D44</t>
  </si>
  <si>
    <t>N/A</t>
  </si>
  <si>
    <t>B32562/B32321</t>
  </si>
  <si>
    <t>15 BRS PE MACH SE 44</t>
  </si>
  <si>
    <t>B32330</t>
  </si>
  <si>
    <t>05 BRS FRGD SOLID RNDPE59</t>
  </si>
  <si>
    <t>B32331</t>
  </si>
  <si>
    <t>07 BRS FRGD SOLID RNDPE59</t>
  </si>
  <si>
    <t>B32323</t>
  </si>
  <si>
    <t>05 BRS FRGD SOLID RNDPE44</t>
  </si>
  <si>
    <t>B32325</t>
  </si>
  <si>
    <t>07 BRS FRGD GP ROUND PE44</t>
  </si>
  <si>
    <t>B32425/B32326</t>
  </si>
  <si>
    <t>10 BRS PE MACH TE 44</t>
  </si>
  <si>
    <t>B32560/B32319</t>
  </si>
  <si>
    <t>10 BRS PE MACH SE 44</t>
  </si>
  <si>
    <t>B32559/B32318</t>
  </si>
  <si>
    <t>B32557/B32936</t>
  </si>
  <si>
    <t>03 BRS PE MACH SE 44</t>
  </si>
  <si>
    <t>B32556/B32935</t>
  </si>
  <si>
    <t>02 BRS PE MACH SE 44</t>
  </si>
  <si>
    <t>B32414/B32471</t>
  </si>
  <si>
    <t>20 BRS PE MACH TE 44</t>
  </si>
  <si>
    <t>B32563/B32322</t>
  </si>
  <si>
    <t>20 BRS PE MACH SE 44</t>
  </si>
  <si>
    <t>BP7823-15209/B32323</t>
  </si>
  <si>
    <t>02 BRS PE SWO P7823</t>
  </si>
  <si>
    <t>B32429/B32323</t>
  </si>
  <si>
    <t>02 BRS PE MACH TE 44</t>
  </si>
  <si>
    <t>B32428/B32323</t>
  </si>
  <si>
    <t>03 BRS PE MACH TE 44</t>
  </si>
  <si>
    <t>BP7823/B32330</t>
  </si>
  <si>
    <t>07 BRS PE SWO P7823</t>
  </si>
  <si>
    <t>B32426/B32325</t>
  </si>
  <si>
    <t>07 BRS PE MACH TE 44</t>
  </si>
  <si>
    <t>B32424/B32474</t>
  </si>
  <si>
    <t>12 BRS PE MACH TE 44</t>
  </si>
  <si>
    <t>B32423/B32473</t>
  </si>
  <si>
    <t>15 BRS PE MACH TE 44</t>
  </si>
  <si>
    <t>B33051</t>
  </si>
  <si>
    <t>15 BRASS BODY FORG D44</t>
  </si>
  <si>
    <t>Gages Required:</t>
  </si>
  <si>
    <t>P/n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</si>
</sst>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Red]\$#,##0.00"/>
    <numFmt numFmtId="165" formatCode="\$#,##0;[Red]\$#,##0"/>
    <numFmt numFmtId="166" formatCode="&quot;￥&quot;#,##0;[Red]&quot;￥&quot;#,##0"/>
    <numFmt numFmtId="167" formatCode="[$-409]d\-mmm\-yy;@"/>
    <numFmt numFmtId="168" formatCode="_(* #,##0_);_(* \(#,##0\);_(* &quot;-&quot;??_);_(@_)"/>
    <numFmt numFmtId="169" formatCode="[$VND]\ #,##0"/>
    <numFmt numFmtId="170" formatCode="&quot;$&quot;#,##0.00"/>
    <numFmt numFmtId="171" formatCode="\$#,##0.0000000000000;[Red]\$#,##0.0000000000000"/>
    <numFmt numFmtId="172" formatCode="_([$$-409]* #,##0.00_);_([$$-409]* \(#,##0.00\);_([$$-409]* &quot;-&quot;??_);_(@_)"/>
  </numFmts>
  <fonts count="32">
    <font>
      <sz val="10"/>
      <name val="Arial"/>
      <family val="2"/>
    </font>
    <font>
      <b/>
      <sz val="10"/>
      <name val="Arial"/>
      <family val="2"/>
    </font>
    <font>
      <b/>
      <sz val="10"/>
      <name val="宋体"/>
      <charset val="134"/>
    </font>
    <font>
      <sz val="20"/>
      <name val="Arial"/>
      <family val="2"/>
    </font>
    <font>
      <sz val="11"/>
      <name val="Arial"/>
      <family val="2"/>
    </font>
    <font>
      <sz val="10"/>
      <color indexed="12"/>
      <name val="Arial"/>
      <family val="2"/>
    </font>
    <font>
      <b/>
      <sz val="12"/>
      <name val="Arial"/>
      <family val="2"/>
    </font>
    <font>
      <sz val="8"/>
      <name val="Arial"/>
      <family val="2"/>
    </font>
    <font>
      <b/>
      <sz val="20"/>
      <name val="Arial"/>
      <family val="2"/>
    </font>
    <font>
      <sz val="10"/>
      <name val="宋体"/>
      <charset val="134"/>
    </font>
    <font>
      <b/>
      <sz val="10.5"/>
      <name val="Arial"/>
      <family val="2"/>
    </font>
    <font>
      <b/>
      <sz val="11"/>
      <name val="Arial"/>
      <family val="2"/>
    </font>
    <font>
      <b/>
      <sz val="10"/>
      <color indexed="12"/>
      <name val="Arial"/>
      <family val="2"/>
    </font>
    <font>
      <sz val="9"/>
      <name val="宋体"/>
      <charset val="134"/>
    </font>
    <font>
      <sz val="12"/>
      <name val="宋体"/>
      <charset val="134"/>
    </font>
    <font>
      <sz val="10"/>
      <name val="Arial"/>
      <family val="2"/>
    </font>
    <font>
      <b/>
      <i/>
      <sz val="14"/>
      <color rgb="FF000000"/>
      <name val="Arial"/>
      <family val="2"/>
    </font>
    <font>
      <i/>
      <sz val="10"/>
      <color rgb="FF000000"/>
      <name val="Arial"/>
      <family val="2"/>
    </font>
    <font>
      <b/>
      <sz val="10"/>
      <color rgb="FF0000FF"/>
      <name val="宋体"/>
      <charset val="134"/>
    </font>
    <font>
      <b/>
      <sz val="10"/>
      <color rgb="FF0000FF"/>
      <name val="Arial"/>
      <family val="2"/>
    </font>
    <font>
      <sz val="10"/>
      <color rgb="FF0000FF"/>
      <name val="Arial"/>
      <family val="2"/>
    </font>
    <font>
      <sz val="10"/>
      <color rgb="FFFF0000"/>
      <name val="Arial"/>
      <family val="2"/>
    </font>
    <font>
      <sz val="10"/>
      <color rgb="FF0000FF"/>
      <name val="宋体"/>
      <charset val="134"/>
    </font>
    <font>
      <sz val="10"/>
      <color rgb="FFFF0000"/>
      <name val="宋体"/>
      <charset val="134"/>
    </font>
    <font>
      <b/>
      <sz val="14"/>
      <color rgb="FF404040"/>
      <name val="Arial"/>
      <family val="2"/>
    </font>
    <font>
      <i/>
      <sz val="10"/>
      <name val="Arial"/>
      <family val="2"/>
    </font>
    <font>
      <b/>
      <sz val="12"/>
      <color rgb="FF000000"/>
      <name val="Arial"/>
      <family val="2"/>
    </font>
    <font>
      <b/>
      <sz val="12"/>
      <color rgb="FF000000"/>
      <name val="宋体"/>
      <charset val="134"/>
    </font>
    <font>
      <i/>
      <sz val="12"/>
      <color rgb="FF000000"/>
      <name val="Arial"/>
      <family val="2"/>
    </font>
    <font>
      <i/>
      <sz val="12"/>
      <name val="Arial"/>
      <family val="2"/>
    </font>
    <font>
      <sz val="12"/>
      <name val="Arial"/>
      <family val="2"/>
    </font>
    <font>
      <sz val="11"/>
      <color rgb="FF000000"/>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3">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8"/>
      </bottom>
      <diagonal/>
    </border>
    <border>
      <left/>
      <right style="thin">
        <color indexed="64"/>
      </right>
      <top style="medium">
        <color indexed="8"/>
      </top>
      <bottom style="thin">
        <color indexed="64"/>
      </bottom>
      <diagonal/>
    </border>
    <border>
      <left style="thin">
        <color indexed="64"/>
      </left>
      <right style="thin">
        <color indexed="64"/>
      </right>
      <top style="thin">
        <color indexed="64"/>
      </top>
      <bottom/>
      <diagonal/>
    </border>
    <border>
      <left style="thin">
        <color indexed="64"/>
      </left>
      <right/>
      <top style="medium">
        <color indexed="8"/>
      </top>
      <bottom style="thin">
        <color indexed="64"/>
      </bottom>
      <diagonal/>
    </border>
    <border>
      <left/>
      <right/>
      <top style="medium">
        <color indexed="8"/>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medium">
        <color rgb="FF000000"/>
      </top>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medium">
        <color indexed="8"/>
      </top>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medium">
        <color rgb="FF000000"/>
      </top>
      <bottom/>
      <diagonal/>
    </border>
    <border>
      <left style="thin">
        <color rgb="FF000000"/>
      </left>
      <right style="thin">
        <color rgb="FF000000"/>
      </right>
      <top/>
      <bottom style="thin">
        <color indexed="64"/>
      </bottom>
      <diagonal/>
    </border>
  </borders>
  <cellStyleXfs count="6">
    <xf numFmtId="0" fontId="0" fillId="0" borderId="0"/>
    <xf numFmtId="0" fontId="14" fillId="0" borderId="0"/>
    <xf numFmtId="0" fontId="14" fillId="0" borderId="0"/>
    <xf numFmtId="0" fontId="13" fillId="0" borderId="0">
      <alignment vertical="center"/>
    </xf>
    <xf numFmtId="43" fontId="15" fillId="0" borderId="0" applyFont="0" applyFill="0" applyBorder="0" applyAlignment="0" applyProtection="0"/>
    <xf numFmtId="9" fontId="15" fillId="0" borderId="0" applyFont="0" applyFill="0" applyBorder="0" applyAlignment="0" applyProtection="0">
      <alignment vertical="center"/>
    </xf>
  </cellStyleXfs>
  <cellXfs count="162">
    <xf numFmtId="0" fontId="0" fillId="0" borderId="0" xfId="0"/>
    <xf numFmtId="0" fontId="0" fillId="0" borderId="0" xfId="0" applyAlignment="1">
      <alignment horizontal="center"/>
    </xf>
    <xf numFmtId="0" fontId="1" fillId="0" borderId="0" xfId="0" applyFont="1"/>
    <xf numFmtId="0" fontId="2" fillId="0" borderId="0" xfId="0" applyFont="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xf numFmtId="164" fontId="0" fillId="0" borderId="0" xfId="0" applyNumberFormat="1"/>
    <xf numFmtId="10" fontId="0" fillId="0" borderId="0" xfId="0" applyNumberFormat="1"/>
    <xf numFmtId="0" fontId="6" fillId="0" borderId="0" xfId="0" applyFont="1" applyAlignment="1">
      <alignment horizontal="right"/>
    </xf>
    <xf numFmtId="0" fontId="16" fillId="0" borderId="0" xfId="0" applyFont="1" applyAlignment="1">
      <alignment horizontal="right"/>
    </xf>
    <xf numFmtId="0" fontId="1" fillId="0" borderId="0" xfId="0" applyFont="1" applyAlignment="1">
      <alignment horizontal="right"/>
    </xf>
    <xf numFmtId="0" fontId="17" fillId="0" borderId="0" xfId="0" applyFont="1" applyAlignment="1">
      <alignment horizontal="right"/>
    </xf>
    <xf numFmtId="164" fontId="6" fillId="0" borderId="0" xfId="0" applyNumberFormat="1" applyFont="1"/>
    <xf numFmtId="0" fontId="7" fillId="0" borderId="0" xfId="0" applyFont="1" applyAlignment="1">
      <alignment horizontal="right"/>
    </xf>
    <xf numFmtId="0" fontId="0" fillId="0" borderId="0" xfId="0" applyAlignment="1">
      <alignment horizontal="right"/>
    </xf>
    <xf numFmtId="164" fontId="7" fillId="0" borderId="0" xfId="0" applyNumberFormat="1" applyFont="1"/>
    <xf numFmtId="164" fontId="3" fillId="0" borderId="0" xfId="0" applyNumberFormat="1" applyFont="1" applyAlignment="1">
      <alignment vertical="center" wrapText="1"/>
    </xf>
    <xf numFmtId="10" fontId="3" fillId="0" borderId="0" xfId="0" applyNumberFormat="1" applyFont="1" applyAlignment="1">
      <alignment vertical="center" wrapText="1"/>
    </xf>
    <xf numFmtId="0" fontId="1" fillId="0" borderId="0" xfId="0" applyFont="1" applyAlignment="1">
      <alignment horizontal="center"/>
    </xf>
    <xf numFmtId="0" fontId="0" fillId="0" borderId="0" xfId="0" applyAlignment="1">
      <alignment vertical="center"/>
    </xf>
    <xf numFmtId="164" fontId="0" fillId="0" borderId="0" xfId="0" applyNumberFormat="1" applyAlignment="1">
      <alignment horizontal="right" vertical="center"/>
    </xf>
    <xf numFmtId="164" fontId="9" fillId="0" borderId="0" xfId="0" applyNumberFormat="1" applyFont="1"/>
    <xf numFmtId="164" fontId="0" fillId="0" borderId="9" xfId="0" applyNumberFormat="1" applyBorder="1" applyAlignment="1">
      <alignment horizontal="center" vertical="center" wrapText="1"/>
    </xf>
    <xf numFmtId="164" fontId="0" fillId="0" borderId="8" xfId="0" applyNumberFormat="1" applyBorder="1" applyAlignment="1">
      <alignment horizontal="center" vertical="center" wrapText="1"/>
    </xf>
    <xf numFmtId="10" fontId="0" fillId="0" borderId="8" xfId="0" applyNumberFormat="1" applyBorder="1" applyAlignment="1">
      <alignment horizontal="center" vertical="center" wrapText="1"/>
    </xf>
    <xf numFmtId="0" fontId="18" fillId="0" borderId="0" xfId="0" applyFont="1" applyAlignment="1">
      <alignment horizontal="center" vertical="center" wrapText="1"/>
    </xf>
    <xf numFmtId="164" fontId="12" fillId="0" borderId="0" xfId="0" applyNumberFormat="1" applyFont="1" applyAlignment="1">
      <alignment horizontal="center" vertical="center" wrapText="1"/>
    </xf>
    <xf numFmtId="164" fontId="12" fillId="0" borderId="0" xfId="0" applyNumberFormat="1" applyFont="1" applyAlignment="1">
      <alignment vertical="center" wrapText="1"/>
    </xf>
    <xf numFmtId="10" fontId="12" fillId="0" borderId="0" xfId="0" applyNumberFormat="1" applyFont="1" applyAlignment="1">
      <alignment vertical="center" wrapText="1"/>
    </xf>
    <xf numFmtId="10" fontId="19" fillId="0" borderId="0" xfId="0" applyNumberFormat="1" applyFont="1"/>
    <xf numFmtId="0" fontId="19" fillId="0" borderId="0" xfId="0" applyFont="1" applyAlignment="1">
      <alignment horizontal="distributed"/>
    </xf>
    <xf numFmtId="164" fontId="18" fillId="0" borderId="0" xfId="0" applyNumberFormat="1" applyFont="1"/>
    <xf numFmtId="164" fontId="20" fillId="0" borderId="0" xfId="0" applyNumberFormat="1" applyFont="1"/>
    <xf numFmtId="164" fontId="21" fillId="0" borderId="10" xfId="0" applyNumberFormat="1" applyFont="1" applyBorder="1"/>
    <xf numFmtId="164" fontId="22" fillId="0" borderId="0" xfId="0" applyNumberFormat="1" applyFont="1"/>
    <xf numFmtId="10" fontId="20" fillId="0" borderId="0" xfId="0" applyNumberFormat="1" applyFont="1"/>
    <xf numFmtId="10" fontId="20" fillId="0" borderId="0" xfId="0" applyNumberFormat="1" applyFont="1" applyAlignment="1">
      <alignment horizontal="center" vertical="center" wrapText="1"/>
    </xf>
    <xf numFmtId="0" fontId="19" fillId="0" borderId="0" xfId="0" applyFont="1" applyAlignment="1">
      <alignment horizontal="center" vertical="center"/>
    </xf>
    <xf numFmtId="10" fontId="21" fillId="0" borderId="10" xfId="0" applyNumberFormat="1" applyFont="1" applyBorder="1"/>
    <xf numFmtId="164" fontId="18" fillId="0" borderId="0" xfId="0" applyNumberFormat="1" applyFont="1" applyAlignment="1">
      <alignment horizontal="right"/>
    </xf>
    <xf numFmtId="164" fontId="20" fillId="0" borderId="10" xfId="0" applyNumberFormat="1" applyFont="1" applyBorder="1"/>
    <xf numFmtId="164" fontId="0" fillId="0" borderId="10" xfId="0" applyNumberFormat="1" applyBorder="1"/>
    <xf numFmtId="164" fontId="23" fillId="0" borderId="10" xfId="0" applyNumberFormat="1" applyFont="1" applyBorder="1"/>
    <xf numFmtId="10" fontId="21" fillId="0" borderId="10" xfId="0" applyNumberFormat="1" applyFont="1" applyBorder="1" applyAlignment="1">
      <alignment horizontal="left"/>
    </xf>
    <xf numFmtId="0" fontId="22" fillId="0" borderId="0" xfId="0" applyFont="1"/>
    <xf numFmtId="0" fontId="20" fillId="0" borderId="0" xfId="0" applyFont="1"/>
    <xf numFmtId="164" fontId="22" fillId="0" borderId="0" xfId="0" applyNumberFormat="1" applyFont="1" applyAlignment="1">
      <alignment horizontal="right"/>
    </xf>
    <xf numFmtId="10" fontId="22" fillId="0" borderId="0" xfId="0" applyNumberFormat="1" applyFont="1" applyAlignment="1">
      <alignment horizontal="left" vertical="center"/>
    </xf>
    <xf numFmtId="165" fontId="21" fillId="0" borderId="10" xfId="0" applyNumberFormat="1" applyFont="1" applyBorder="1"/>
    <xf numFmtId="10" fontId="20" fillId="0" borderId="0" xfId="0" applyNumberFormat="1" applyFont="1" applyAlignment="1">
      <alignment horizontal="left" vertical="center"/>
    </xf>
    <xf numFmtId="0" fontId="19" fillId="0" borderId="0" xfId="0" applyFont="1" applyAlignment="1">
      <alignment horizontal="center"/>
    </xf>
    <xf numFmtId="0" fontId="18" fillId="0" borderId="0" xfId="0" applyFont="1" applyAlignment="1">
      <alignment horizontal="left"/>
    </xf>
    <xf numFmtId="0" fontId="22" fillId="0" borderId="0" xfId="0" applyFont="1" applyAlignment="1">
      <alignment horizontal="right"/>
    </xf>
    <xf numFmtId="0" fontId="21" fillId="0" borderId="10" xfId="0" applyFont="1" applyBorder="1" applyAlignment="1">
      <alignment horizontal="center"/>
    </xf>
    <xf numFmtId="0" fontId="20" fillId="0" borderId="0" xfId="0" applyFont="1" applyAlignment="1">
      <alignment horizontal="center"/>
    </xf>
    <xf numFmtId="0" fontId="22" fillId="0" borderId="0" xfId="0" applyFont="1" applyAlignment="1">
      <alignment horizontal="left"/>
    </xf>
    <xf numFmtId="166" fontId="23" fillId="0" borderId="10" xfId="0" applyNumberFormat="1" applyFont="1" applyBorder="1"/>
    <xf numFmtId="10" fontId="18" fillId="0" borderId="0" xfId="0" applyNumberFormat="1" applyFont="1"/>
    <xf numFmtId="0" fontId="0" fillId="0" borderId="0" xfId="0" applyAlignment="1">
      <alignment horizontal="center" vertical="center"/>
    </xf>
    <xf numFmtId="14" fontId="0" fillId="0" borderId="0" xfId="0" applyNumberFormat="1"/>
    <xf numFmtId="10" fontId="6" fillId="0" borderId="0" xfId="0" applyNumberFormat="1" applyFont="1"/>
    <xf numFmtId="10" fontId="0" fillId="0" borderId="9" xfId="0" applyNumberFormat="1" applyBorder="1" applyAlignment="1">
      <alignment horizontal="center" vertical="center" wrapText="1"/>
    </xf>
    <xf numFmtId="0" fontId="12" fillId="0" borderId="0" xfId="0" applyFont="1" applyAlignment="1">
      <alignment vertical="center" wrapText="1"/>
    </xf>
    <xf numFmtId="0" fontId="10" fillId="0" borderId="0" xfId="0" applyFont="1" applyAlignment="1">
      <alignment horizontal="center" vertical="center" wrapText="1"/>
    </xf>
    <xf numFmtId="0" fontId="8" fillId="0" borderId="0" xfId="0" applyFont="1" applyAlignment="1">
      <alignment horizontal="center" vertical="center" wrapText="1"/>
    </xf>
    <xf numFmtId="10" fontId="0" fillId="0" borderId="12" xfId="0" applyNumberFormat="1" applyBorder="1" applyAlignment="1">
      <alignment horizontal="center" vertical="center" wrapText="1"/>
    </xf>
    <xf numFmtId="164" fontId="0" fillId="0" borderId="15" xfId="0" applyNumberFormat="1" applyBorder="1" applyAlignment="1">
      <alignment horizontal="center" vertical="center" wrapText="1"/>
    </xf>
    <xf numFmtId="0" fontId="1" fillId="0" borderId="0" xfId="0" applyFont="1" applyAlignment="1">
      <alignment horizontal="center" vertical="center" wrapText="1"/>
    </xf>
    <xf numFmtId="0" fontId="4" fillId="0" borderId="15" xfId="0" applyFont="1" applyBorder="1" applyAlignment="1">
      <alignment vertical="center" wrapText="1"/>
    </xf>
    <xf numFmtId="164" fontId="0" fillId="0" borderId="16" xfId="0" applyNumberFormat="1" applyBorder="1" applyAlignment="1">
      <alignment horizontal="center" vertical="center" wrapText="1"/>
    </xf>
    <xf numFmtId="0" fontId="0" fillId="0" borderId="0" xfId="0" applyAlignment="1">
      <alignment wrapText="1"/>
    </xf>
    <xf numFmtId="0" fontId="0" fillId="0" borderId="0" xfId="0" applyAlignment="1">
      <alignment vertical="center" wrapText="1"/>
    </xf>
    <xf numFmtId="3" fontId="0" fillId="0" borderId="0" xfId="0" applyNumberFormat="1" applyAlignment="1">
      <alignment vertical="center" wrapText="1"/>
    </xf>
    <xf numFmtId="43" fontId="0" fillId="0" borderId="9" xfId="0" quotePrefix="1" applyNumberFormat="1" applyBorder="1" applyAlignment="1">
      <alignment horizontal="center" vertical="center" wrapText="1"/>
    </xf>
    <xf numFmtId="164" fontId="21" fillId="2" borderId="10" xfId="0" applyNumberFormat="1" applyFont="1" applyFill="1" applyBorder="1"/>
    <xf numFmtId="0" fontId="24" fillId="0" borderId="0" xfId="0" applyFont="1" applyAlignment="1">
      <alignment horizontal="right"/>
    </xf>
    <xf numFmtId="0" fontId="25" fillId="0" borderId="0" xfId="0" applyFont="1" applyAlignment="1">
      <alignment horizontal="right"/>
    </xf>
    <xf numFmtId="0" fontId="1" fillId="0" borderId="8" xfId="0" applyFont="1" applyBorder="1" applyAlignment="1">
      <alignment horizontal="center" vertical="center" wrapText="1"/>
    </xf>
    <xf numFmtId="164" fontId="0" fillId="0" borderId="8" xfId="0" quotePrefix="1" applyNumberFormat="1" applyBorder="1" applyAlignment="1">
      <alignment horizontal="center" vertical="center" wrapText="1"/>
    </xf>
    <xf numFmtId="0" fontId="26" fillId="0" borderId="0" xfId="0" applyFont="1"/>
    <xf numFmtId="0" fontId="28" fillId="0" borderId="0" xfId="0" applyFont="1" applyAlignment="1">
      <alignment horizontal="right"/>
    </xf>
    <xf numFmtId="0" fontId="29" fillId="0" borderId="0" xfId="0" applyFont="1" applyAlignment="1">
      <alignment horizontal="right"/>
    </xf>
    <xf numFmtId="167" fontId="6" fillId="0" borderId="7" xfId="0" applyNumberFormat="1" applyFont="1" applyBorder="1" applyAlignment="1">
      <alignment horizontal="center"/>
    </xf>
    <xf numFmtId="0" fontId="6" fillId="0" borderId="7" xfId="0" applyFont="1" applyBorder="1" applyAlignment="1">
      <alignment horizontal="center"/>
    </xf>
    <xf numFmtId="0" fontId="30" fillId="0" borderId="7" xfId="0" applyFont="1" applyBorder="1"/>
    <xf numFmtId="0" fontId="30" fillId="3" borderId="7" xfId="0" applyFont="1" applyFill="1" applyBorder="1" applyAlignment="1">
      <alignment horizontal="right"/>
    </xf>
    <xf numFmtId="0" fontId="30" fillId="0" borderId="18" xfId="0" applyFont="1" applyBorder="1"/>
    <xf numFmtId="0" fontId="30" fillId="0" borderId="0" xfId="0" applyFont="1"/>
    <xf numFmtId="0" fontId="30" fillId="3" borderId="0" xfId="0" applyFont="1" applyFill="1"/>
    <xf numFmtId="0" fontId="30" fillId="0" borderId="0" xfId="0" applyFont="1" applyAlignment="1">
      <alignment horizontal="center"/>
    </xf>
    <xf numFmtId="0" fontId="30" fillId="0" borderId="0" xfId="0" applyFont="1" applyAlignment="1">
      <alignment horizontal="right"/>
    </xf>
    <xf numFmtId="14" fontId="30" fillId="0" borderId="7" xfId="0" applyNumberFormat="1" applyFont="1" applyBorder="1"/>
    <xf numFmtId="1" fontId="30" fillId="3" borderId="7" xfId="0" applyNumberFormat="1" applyFont="1" applyFill="1" applyBorder="1" applyAlignment="1">
      <alignment horizontal="right"/>
    </xf>
    <xf numFmtId="0" fontId="30" fillId="0" borderId="7" xfId="0" applyFont="1" applyBorder="1" applyAlignment="1">
      <alignment horizontal="right"/>
    </xf>
    <xf numFmtId="169" fontId="30" fillId="3" borderId="7" xfId="0" applyNumberFormat="1" applyFont="1" applyFill="1" applyBorder="1" applyAlignment="1">
      <alignment horizontal="left"/>
    </xf>
    <xf numFmtId="0" fontId="30" fillId="0" borderId="7" xfId="0" applyFont="1" applyBorder="1" applyAlignment="1">
      <alignment horizontal="left"/>
    </xf>
    <xf numFmtId="14" fontId="30" fillId="0" borderId="0" xfId="0" applyNumberFormat="1" applyFont="1"/>
    <xf numFmtId="0" fontId="10" fillId="0" borderId="22" xfId="0" applyFont="1" applyBorder="1" applyAlignment="1">
      <alignment horizontal="center" vertical="center" wrapText="1"/>
    </xf>
    <xf numFmtId="0" fontId="4" fillId="0" borderId="8" xfId="0" applyFont="1" applyBorder="1" applyAlignment="1">
      <alignment horizontal="center" vertical="center" wrapText="1"/>
    </xf>
    <xf numFmtId="168" fontId="0" fillId="0" borderId="8" xfId="4" applyNumberFormat="1" applyFont="1" applyBorder="1" applyAlignment="1">
      <alignment horizontal="center" vertical="center" wrapText="1"/>
    </xf>
    <xf numFmtId="168" fontId="4" fillId="0" borderId="15" xfId="0" applyNumberFormat="1" applyFont="1" applyBorder="1" applyAlignment="1">
      <alignment vertical="center" wrapText="1"/>
    </xf>
    <xf numFmtId="170" fontId="10" fillId="0" borderId="19" xfId="0" applyNumberFormat="1" applyFont="1" applyBorder="1" applyAlignment="1">
      <alignment horizontal="center" vertical="center" wrapText="1"/>
    </xf>
    <xf numFmtId="0" fontId="12" fillId="0" borderId="23" xfId="0" applyFont="1" applyBorder="1" applyAlignment="1">
      <alignment horizontal="center" vertical="center" wrapText="1"/>
    </xf>
    <xf numFmtId="0" fontId="30" fillId="0" borderId="0" xfId="0" applyFont="1" applyAlignment="1">
      <alignment horizontal="center" wrapText="1"/>
    </xf>
    <xf numFmtId="164" fontId="5" fillId="0" borderId="0" xfId="0" applyNumberFormat="1" applyFont="1" applyAlignment="1">
      <alignment vertical="center" wrapText="1"/>
    </xf>
    <xf numFmtId="0" fontId="8" fillId="0" borderId="0" xfId="0" applyFont="1" applyAlignment="1">
      <alignment vertical="center" wrapText="1"/>
    </xf>
    <xf numFmtId="170" fontId="5" fillId="0" borderId="0" xfId="0" applyNumberFormat="1" applyFont="1" applyAlignment="1">
      <alignment vertical="center" wrapText="1"/>
    </xf>
    <xf numFmtId="10" fontId="0" fillId="0" borderId="19" xfId="0" applyNumberFormat="1" applyBorder="1" applyAlignment="1">
      <alignment horizontal="center" vertical="center" wrapText="1"/>
    </xf>
    <xf numFmtId="10" fontId="0" fillId="0" borderId="25" xfId="0" applyNumberFormat="1" applyBorder="1" applyAlignment="1">
      <alignment horizontal="center" vertical="center" wrapText="1"/>
    </xf>
    <xf numFmtId="170" fontId="10" fillId="0" borderId="26" xfId="0" applyNumberFormat="1" applyFont="1" applyBorder="1" applyAlignment="1">
      <alignment horizontal="center" vertical="center" wrapText="1"/>
    </xf>
    <xf numFmtId="0" fontId="12" fillId="0" borderId="0" xfId="0" applyFont="1" applyAlignment="1">
      <alignment horizontal="center" vertical="center" wrapText="1"/>
    </xf>
    <xf numFmtId="164" fontId="19" fillId="0" borderId="0" xfId="0" applyNumberFormat="1" applyFont="1" applyAlignment="1">
      <alignment vertical="center"/>
    </xf>
    <xf numFmtId="170" fontId="0" fillId="0" borderId="12" xfId="0" applyNumberFormat="1" applyBorder="1" applyAlignment="1">
      <alignment horizontal="center" vertical="center" wrapText="1"/>
    </xf>
    <xf numFmtId="170" fontId="0" fillId="0" borderId="8" xfId="0" quotePrefix="1" applyNumberFormat="1" applyBorder="1" applyAlignment="1">
      <alignment horizontal="center" vertical="center" wrapText="1"/>
    </xf>
    <xf numFmtId="170" fontId="0" fillId="0" borderId="24" xfId="0" applyNumberFormat="1" applyBorder="1" applyAlignment="1">
      <alignment horizontal="center" vertical="center" wrapText="1"/>
    </xf>
    <xf numFmtId="2" fontId="12" fillId="0" borderId="0" xfId="0" applyNumberFormat="1" applyFont="1" applyAlignment="1">
      <alignment horizontal="center" vertical="center" wrapText="1"/>
    </xf>
    <xf numFmtId="171" fontId="0" fillId="0" borderId="0" xfId="0" applyNumberFormat="1"/>
    <xf numFmtId="172" fontId="5" fillId="0" borderId="0" xfId="0" applyNumberFormat="1" applyFont="1" applyAlignment="1">
      <alignment vertical="center" wrapText="1"/>
    </xf>
    <xf numFmtId="170" fontId="0" fillId="0" borderId="8" xfId="0" applyNumberFormat="1" applyBorder="1" applyAlignment="1">
      <alignment horizontal="center" vertical="center" wrapText="1"/>
    </xf>
    <xf numFmtId="170" fontId="0" fillId="0" borderId="9" xfId="0" applyNumberFormat="1" applyBorder="1" applyAlignment="1">
      <alignment horizontal="center" vertical="center" wrapText="1"/>
    </xf>
    <xf numFmtId="0" fontId="8" fillId="0" borderId="0" xfId="0" applyFont="1" applyAlignment="1">
      <alignment horizontal="center" vertical="center" wrapText="1"/>
    </xf>
    <xf numFmtId="164" fontId="11" fillId="0" borderId="13" xfId="0" applyNumberFormat="1" applyFont="1" applyBorder="1" applyAlignment="1">
      <alignment horizontal="center" vertical="center" wrapText="1"/>
    </xf>
    <xf numFmtId="164" fontId="11" fillId="0" borderId="14" xfId="0" applyNumberFormat="1" applyFont="1" applyBorder="1" applyAlignment="1">
      <alignment horizontal="center" vertical="center" wrapText="1"/>
    </xf>
    <xf numFmtId="0" fontId="30" fillId="0" borderId="17" xfId="0" applyFont="1" applyBorder="1" applyAlignment="1">
      <alignment horizontal="center" wrapText="1"/>
    </xf>
    <xf numFmtId="0" fontId="30" fillId="0" borderId="18" xfId="0" applyFont="1" applyBorder="1" applyAlignment="1">
      <alignment horizontal="center" wrapText="1"/>
    </xf>
    <xf numFmtId="0" fontId="30" fillId="0" borderId="0" xfId="0" applyFont="1" applyAlignment="1">
      <alignment horizontal="center"/>
    </xf>
    <xf numFmtId="0" fontId="10" fillId="0" borderId="20"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19" xfId="0" applyFont="1" applyBorder="1" applyAlignment="1">
      <alignment horizontal="center" vertical="center" wrapText="1"/>
    </xf>
    <xf numFmtId="0" fontId="19" fillId="0" borderId="19"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9" xfId="0" applyFont="1" applyBorder="1" applyAlignment="1">
      <alignment horizontal="center" vertical="center" wrapText="1"/>
    </xf>
    <xf numFmtId="164" fontId="4" fillId="0" borderId="26" xfId="0" applyNumberFormat="1" applyFont="1" applyBorder="1" applyAlignment="1">
      <alignment horizontal="center" vertical="center" wrapText="1"/>
    </xf>
    <xf numFmtId="0" fontId="4" fillId="0" borderId="30" xfId="0" applyFont="1" applyBorder="1" applyAlignment="1">
      <alignment horizontal="center" vertical="center" wrapText="1"/>
    </xf>
    <xf numFmtId="164" fontId="11" fillId="0" borderId="27" xfId="0" applyNumberFormat="1" applyFont="1" applyBorder="1" applyAlignment="1">
      <alignment horizontal="center" vertical="center" wrapText="1"/>
    </xf>
    <xf numFmtId="164" fontId="11" fillId="0" borderId="28" xfId="0" applyNumberFormat="1" applyFont="1" applyBorder="1" applyAlignment="1">
      <alignment horizontal="center" vertical="center" wrapText="1"/>
    </xf>
    <xf numFmtId="164" fontId="11" fillId="0" borderId="11" xfId="0" applyNumberFormat="1" applyFont="1" applyBorder="1" applyAlignment="1">
      <alignment horizontal="center" vertical="center" wrapText="1"/>
    </xf>
    <xf numFmtId="10" fontId="11" fillId="0" borderId="13" xfId="0" applyNumberFormat="1" applyFont="1" applyBorder="1" applyAlignment="1">
      <alignment horizontal="center" vertical="center" wrapText="1"/>
    </xf>
    <xf numFmtId="10" fontId="11" fillId="0" borderId="14" xfId="0" applyNumberFormat="1" applyFont="1" applyBorder="1" applyAlignment="1">
      <alignment horizontal="center" vertical="center" wrapText="1"/>
    </xf>
    <xf numFmtId="10" fontId="11" fillId="0" borderId="11" xfId="0" applyNumberFormat="1" applyFont="1" applyBorder="1" applyAlignment="1">
      <alignment horizontal="center" vertical="center" wrapText="1"/>
    </xf>
    <xf numFmtId="0" fontId="10" fillId="0" borderId="31" xfId="0" applyFont="1" applyBorder="1" applyAlignment="1">
      <alignment horizontal="center" vertical="center" wrapText="1"/>
    </xf>
    <xf numFmtId="0" fontId="10" fillId="0" borderId="29" xfId="0" applyFont="1" applyBorder="1" applyAlignment="1">
      <alignment horizontal="center" vertical="center" wrapText="1"/>
    </xf>
    <xf numFmtId="164" fontId="4" fillId="0" borderId="30" xfId="0" applyNumberFormat="1" applyFont="1" applyBorder="1" applyAlignment="1">
      <alignment horizontal="center" vertical="center" wrapText="1"/>
    </xf>
    <xf numFmtId="0" fontId="10" fillId="0" borderId="32" xfId="0" applyFont="1" applyBorder="1" applyAlignment="1">
      <alignment horizontal="center" vertical="center" wrapText="1"/>
    </xf>
    <xf numFmtId="0" fontId="4" fillId="0" borderId="8" xfId="0" applyFont="1" applyBorder="1" applyAlignment="1">
      <alignment horizontal="center" vertical="center"/>
    </xf>
    <xf numFmtId="0" fontId="4" fillId="0" borderId="12" xfId="0" applyFont="1" applyBorder="1" applyAlignment="1">
      <alignment horizontal="center" vertical="center" wrapText="1"/>
    </xf>
    <xf numFmtId="0" fontId="31" fillId="0" borderId="8"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wrapText="1"/>
    </xf>
    <xf numFmtId="0" fontId="10" fillId="0" borderId="31" xfId="0" applyFont="1" applyBorder="1" applyAlignment="1">
      <alignment horizontal="center" vertical="center"/>
    </xf>
    <xf numFmtId="0" fontId="10" fillId="0" borderId="32" xfId="0" applyFont="1" applyBorder="1" applyAlignment="1">
      <alignment horizontal="center" vertical="center"/>
    </xf>
    <xf numFmtId="10" fontId="0" fillId="0" borderId="8" xfId="5" applyNumberFormat="1" applyFont="1" applyBorder="1" applyAlignment="1">
      <alignment horizontal="center" vertical="center" wrapText="1"/>
    </xf>
    <xf numFmtId="0" fontId="31" fillId="0" borderId="12" xfId="0" applyFont="1" applyBorder="1" applyAlignment="1">
      <alignment horizontal="center" vertical="center" wrapText="1"/>
    </xf>
  </cellXfs>
  <cellStyles count="6">
    <cellStyle name="Comma" xfId="4" builtinId="3"/>
    <cellStyle name="Normal" xfId="0" builtinId="0"/>
    <cellStyle name="Percent" xfId="5" builtinId="5"/>
    <cellStyle name="常规 2" xfId="1" xr:uid="{80FB9640-6CF5-4E0B-80B1-C237DFCAA758}"/>
    <cellStyle name="常规 3" xfId="2" xr:uid="{B9C689D3-4198-4F1F-B83F-7801082588C1}"/>
    <cellStyle name="常规_Quotation" xfId="3" xr:uid="{C6F45131-6E65-4877-9931-92A2930D906F}"/>
  </cellStyles>
  <dxfs count="5">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3" Type="http://schemas.openxmlformats.org/officeDocument/2006/relationships/customXml" Target="../ink/ink10.xml"/><Relationship Id="rId18" Type="http://schemas.openxmlformats.org/officeDocument/2006/relationships/customXml" Target="../ink/ink15.xml"/><Relationship Id="rId26" Type="http://schemas.openxmlformats.org/officeDocument/2006/relationships/customXml" Target="../ink/ink23.xml"/><Relationship Id="rId3" Type="http://schemas.openxmlformats.org/officeDocument/2006/relationships/image" Target="../media/image2.png"/><Relationship Id="rId21" Type="http://schemas.openxmlformats.org/officeDocument/2006/relationships/customXml" Target="../ink/ink18.xml"/><Relationship Id="rId34" Type="http://schemas.openxmlformats.org/officeDocument/2006/relationships/customXml" Target="../ink/ink31.xml"/><Relationship Id="rId7" Type="http://schemas.openxmlformats.org/officeDocument/2006/relationships/customXml" Target="../ink/ink4.xml"/><Relationship Id="rId12" Type="http://schemas.openxmlformats.org/officeDocument/2006/relationships/customXml" Target="../ink/ink9.xml"/><Relationship Id="rId17" Type="http://schemas.openxmlformats.org/officeDocument/2006/relationships/customXml" Target="../ink/ink14.xml"/><Relationship Id="rId25" Type="http://schemas.openxmlformats.org/officeDocument/2006/relationships/customXml" Target="../ink/ink22.xml"/><Relationship Id="rId33" Type="http://schemas.openxmlformats.org/officeDocument/2006/relationships/customXml" Target="../ink/ink30.xml"/><Relationship Id="rId2" Type="http://schemas.openxmlformats.org/officeDocument/2006/relationships/customXml" Target="../ink/ink1.xml"/><Relationship Id="rId16" Type="http://schemas.openxmlformats.org/officeDocument/2006/relationships/customXml" Target="../ink/ink13.xml"/><Relationship Id="rId20" Type="http://schemas.openxmlformats.org/officeDocument/2006/relationships/customXml" Target="../ink/ink17.xml"/><Relationship Id="rId29" Type="http://schemas.openxmlformats.org/officeDocument/2006/relationships/customXml" Target="../ink/ink26.xml"/><Relationship Id="rId1" Type="http://schemas.openxmlformats.org/officeDocument/2006/relationships/image" Target="../media/image1.png"/><Relationship Id="rId6" Type="http://schemas.openxmlformats.org/officeDocument/2006/relationships/customXml" Target="../ink/ink3.xml"/><Relationship Id="rId11" Type="http://schemas.openxmlformats.org/officeDocument/2006/relationships/customXml" Target="../ink/ink8.xml"/><Relationship Id="rId24" Type="http://schemas.openxmlformats.org/officeDocument/2006/relationships/customXml" Target="../ink/ink21.xml"/><Relationship Id="rId32" Type="http://schemas.openxmlformats.org/officeDocument/2006/relationships/customXml" Target="../ink/ink29.xml"/><Relationship Id="rId5" Type="http://schemas.openxmlformats.org/officeDocument/2006/relationships/customXml" Target="../ink/ink2.xml"/><Relationship Id="rId15" Type="http://schemas.openxmlformats.org/officeDocument/2006/relationships/customXml" Target="../ink/ink12.xml"/><Relationship Id="rId23" Type="http://schemas.openxmlformats.org/officeDocument/2006/relationships/customXml" Target="../ink/ink20.xml"/><Relationship Id="rId28" Type="http://schemas.openxmlformats.org/officeDocument/2006/relationships/customXml" Target="../ink/ink25.xml"/><Relationship Id="rId10" Type="http://schemas.openxmlformats.org/officeDocument/2006/relationships/customXml" Target="../ink/ink7.xml"/><Relationship Id="rId19" Type="http://schemas.openxmlformats.org/officeDocument/2006/relationships/customXml" Target="../ink/ink16.xml"/><Relationship Id="rId31" Type="http://schemas.openxmlformats.org/officeDocument/2006/relationships/customXml" Target="../ink/ink28.xml"/><Relationship Id="rId4" Type="http://schemas.openxmlformats.org/officeDocument/2006/relationships/image" Target="../media/image3.png"/><Relationship Id="rId9" Type="http://schemas.openxmlformats.org/officeDocument/2006/relationships/customXml" Target="../ink/ink6.xml"/><Relationship Id="rId14" Type="http://schemas.openxmlformats.org/officeDocument/2006/relationships/customXml" Target="../ink/ink11.xml"/><Relationship Id="rId22" Type="http://schemas.openxmlformats.org/officeDocument/2006/relationships/customXml" Target="../ink/ink19.xml"/><Relationship Id="rId27" Type="http://schemas.openxmlformats.org/officeDocument/2006/relationships/customXml" Target="../ink/ink24.xml"/><Relationship Id="rId30" Type="http://schemas.openxmlformats.org/officeDocument/2006/relationships/customXml" Target="../ink/ink27.xml"/><Relationship Id="rId35" Type="http://schemas.openxmlformats.org/officeDocument/2006/relationships/customXml" Target="../ink/ink32.xml"/><Relationship Id="rId8" Type="http://schemas.openxmlformats.org/officeDocument/2006/relationships/customXml" Target="../ink/ink5.xml"/></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0</xdr:row>
      <xdr:rowOff>219075</xdr:rowOff>
    </xdr:from>
    <xdr:to>
      <xdr:col>2</xdr:col>
      <xdr:colOff>511406</xdr:colOff>
      <xdr:row>5</xdr:row>
      <xdr:rowOff>133350</xdr:rowOff>
    </xdr:to>
    <xdr:pic>
      <xdr:nvPicPr>
        <xdr:cNvPr id="36" name="图片 5" descr="TOP-最终Logo">
          <a:extLst>
            <a:ext uri="{FF2B5EF4-FFF2-40B4-BE49-F238E27FC236}">
              <a16:creationId xmlns:a16="http://schemas.microsoft.com/office/drawing/2014/main" id="{5D29C509-2583-84DF-2FBB-32CE5054F5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8175" y="219075"/>
          <a:ext cx="1473431"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38</xdr:row>
      <xdr:rowOff>19050</xdr:rowOff>
    </xdr:from>
    <xdr:to>
      <xdr:col>7</xdr:col>
      <xdr:colOff>0</xdr:colOff>
      <xdr:row>38</xdr:row>
      <xdr:rowOff>19050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6" name="Ink 5">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twoCellAnchor>
  <xdr:twoCellAnchor editAs="oneCell">
    <xdr:from>
      <xdr:col>5</xdr:col>
      <xdr:colOff>190500</xdr:colOff>
      <xdr:row>36</xdr:row>
      <xdr:rowOff>180975</xdr:rowOff>
    </xdr:from>
    <xdr:to>
      <xdr:col>5</xdr:col>
      <xdr:colOff>939800</xdr:colOff>
      <xdr:row>39</xdr:row>
      <xdr:rowOff>60667</xdr:rowOff>
    </xdr:to>
    <xdr:pic>
      <xdr:nvPicPr>
        <xdr:cNvPr id="2" name="Picture 1">
          <a:extLst>
            <a:ext uri="{FF2B5EF4-FFF2-40B4-BE49-F238E27FC236}">
              <a16:creationId xmlns:a16="http://schemas.microsoft.com/office/drawing/2014/main" id="{6D8F0670-209D-47D9-EEAA-B739A81ECF4A}"/>
            </a:ext>
            <a:ext uri="{147F2762-F138-4A5C-976F-8EAC2B608ADB}">
              <a16:predDERef xmlns:a16="http://schemas.microsoft.com/office/drawing/2014/main" pred="{B0A99703-38EA-4591-9492-BAB3B83DCEC5}"/>
            </a:ext>
          </a:extLst>
        </xdr:cNvPr>
        <xdr:cNvPicPr>
          <a:picLocks noChangeAspect="1"/>
        </xdr:cNvPicPr>
      </xdr:nvPicPr>
      <xdr:blipFill>
        <a:blip xmlns:r="http://schemas.openxmlformats.org/officeDocument/2006/relationships" r:embed="rId4"/>
        <a:stretch>
          <a:fillRect/>
        </a:stretch>
      </xdr:blipFill>
      <xdr:spPr>
        <a:xfrm>
          <a:off x="6743700" y="9077325"/>
          <a:ext cx="749300" cy="755992"/>
        </a:xfrm>
        <a:prstGeom prst="rect">
          <a:avLst/>
        </a:prstGeom>
      </xdr:spPr>
    </xdr:pic>
    <xdr:clientData/>
  </xdr:twoCellAnchor>
  <xdr:oneCellAnchor>
    <xdr:from>
      <xdr:col>7</xdr:col>
      <xdr:colOff>0</xdr:colOff>
      <xdr:row>30</xdr:row>
      <xdr:rowOff>19050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 name="Ink 2">
              <a:extLst>
                <a:ext uri="{FF2B5EF4-FFF2-40B4-BE49-F238E27FC236}">
                  <a16:creationId xmlns:a16="http://schemas.microsoft.com/office/drawing/2014/main" id="{CA0180F4-CF32-4A2B-AC51-11F5CFFC797E}"/>
                </a:ext>
                <a:ext uri="{147F2762-F138-4A5C-976F-8EAC2B608ADB}">
                  <a16:predDERef xmlns:a16="http://schemas.microsoft.com/office/drawing/2014/main" pred="{6D8F0670-209D-47D9-EEAA-B739A81ECF4A}"/>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30</xdr:row>
      <xdr:rowOff>19050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5" name="Ink 4">
              <a:extLst>
                <a:ext uri="{FF2B5EF4-FFF2-40B4-BE49-F238E27FC236}">
                  <a16:creationId xmlns:a16="http://schemas.microsoft.com/office/drawing/2014/main" id="{D7B249D8-872B-4D85-9353-89DB7566601E}"/>
                </a:ext>
                <a:ext uri="{147F2762-F138-4A5C-976F-8EAC2B608ADB}">
                  <a16:predDERef xmlns:a16="http://schemas.microsoft.com/office/drawing/2014/main" pred="{CA0180F4-CF32-4A2B-AC51-11F5CFFC797E}"/>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22</xdr:row>
      <xdr:rowOff>19050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7" name="Ink 6">
              <a:extLst>
                <a:ext uri="{FF2B5EF4-FFF2-40B4-BE49-F238E27FC236}">
                  <a16:creationId xmlns:a16="http://schemas.microsoft.com/office/drawing/2014/main" id="{2E0F0907-DA06-4C8F-9952-BB57D93BE196}"/>
                </a:ext>
                <a:ext uri="{147F2762-F138-4A5C-976F-8EAC2B608ADB}">
                  <a16:predDERef xmlns:a16="http://schemas.microsoft.com/office/drawing/2014/main" pred="{D7B249D8-872B-4D85-9353-89DB7566601E}"/>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30</xdr:row>
      <xdr:rowOff>19050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 name="Ink 7">
              <a:extLst>
                <a:ext uri="{FF2B5EF4-FFF2-40B4-BE49-F238E27FC236}">
                  <a16:creationId xmlns:a16="http://schemas.microsoft.com/office/drawing/2014/main" id="{39036852-A1E7-4639-868B-E514F51B85F7}"/>
                </a:ext>
                <a:ext uri="{147F2762-F138-4A5C-976F-8EAC2B608ADB}">
                  <a16:predDERef xmlns:a16="http://schemas.microsoft.com/office/drawing/2014/main" pred="{2E0F0907-DA06-4C8F-9952-BB57D93BE196}"/>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22</xdr:row>
      <xdr:rowOff>19050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 name="Ink 8">
              <a:extLst>
                <a:ext uri="{FF2B5EF4-FFF2-40B4-BE49-F238E27FC236}">
                  <a16:creationId xmlns:a16="http://schemas.microsoft.com/office/drawing/2014/main" id="{8C64C5F9-FBB0-4569-9133-C1449FA308C4}"/>
                </a:ext>
                <a:ext uri="{147F2762-F138-4A5C-976F-8EAC2B608ADB}">
                  <a16:predDERef xmlns:a16="http://schemas.microsoft.com/office/drawing/2014/main" pred="{39036852-A1E7-4639-868B-E514F51B85F7}"/>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22</xdr:row>
      <xdr:rowOff>19050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0" name="Ink 9">
              <a:extLst>
                <a:ext uri="{FF2B5EF4-FFF2-40B4-BE49-F238E27FC236}">
                  <a16:creationId xmlns:a16="http://schemas.microsoft.com/office/drawing/2014/main" id="{C804C39E-A203-442F-9F41-AFE7E85B5148}"/>
                </a:ext>
                <a:ext uri="{147F2762-F138-4A5C-976F-8EAC2B608ADB}">
                  <a16:predDERef xmlns:a16="http://schemas.microsoft.com/office/drawing/2014/main" pred="{8C64C5F9-FBB0-4569-9133-C1449FA308C4}"/>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19</xdr:row>
      <xdr:rowOff>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1" name="Ink 10">
              <a:extLst>
                <a:ext uri="{FF2B5EF4-FFF2-40B4-BE49-F238E27FC236}">
                  <a16:creationId xmlns:a16="http://schemas.microsoft.com/office/drawing/2014/main" id="{CB380B2B-0BF7-4F5E-9451-5A3D6BF44D09}"/>
                </a:ext>
                <a:ext uri="{147F2762-F138-4A5C-976F-8EAC2B608ADB}">
                  <a16:predDERef xmlns:a16="http://schemas.microsoft.com/office/drawing/2014/main" pred="{C804C39E-A203-442F-9F41-AFE7E85B5148}"/>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30</xdr:row>
      <xdr:rowOff>19050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a16="http://schemas.microsoft.com/office/drawing/2014/main" id="{9B0774E2-C5C4-43BC-9EF9-AB2B077E05F7}"/>
                </a:ext>
                <a:ext uri="{147F2762-F138-4A5C-976F-8EAC2B608ADB}">
                  <a16:predDERef xmlns:a16="http://schemas.microsoft.com/office/drawing/2014/main" pred="{CB380B2B-0BF7-4F5E-9451-5A3D6BF44D09}"/>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22</xdr:row>
      <xdr:rowOff>19050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3" name="Ink 12">
              <a:extLst>
                <a:ext uri="{FF2B5EF4-FFF2-40B4-BE49-F238E27FC236}">
                  <a16:creationId xmlns:a16="http://schemas.microsoft.com/office/drawing/2014/main" id="{2AECCAE1-5D6E-44F8-8883-3F625D0A6CFA}"/>
                </a:ext>
                <a:ext uri="{147F2762-F138-4A5C-976F-8EAC2B608ADB}">
                  <a16:predDERef xmlns:a16="http://schemas.microsoft.com/office/drawing/2014/main" pred="{9B0774E2-C5C4-43BC-9EF9-AB2B077E05F7}"/>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22</xdr:row>
      <xdr:rowOff>19050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4" name="Ink 13">
              <a:extLst>
                <a:ext uri="{FF2B5EF4-FFF2-40B4-BE49-F238E27FC236}">
                  <a16:creationId xmlns:a16="http://schemas.microsoft.com/office/drawing/2014/main" id="{68BD279F-B1C2-42D0-B7AB-0DC253D54C1B}"/>
                </a:ext>
                <a:ext uri="{147F2762-F138-4A5C-976F-8EAC2B608ADB}">
                  <a16:predDERef xmlns:a16="http://schemas.microsoft.com/office/drawing/2014/main" pred="{2AECCAE1-5D6E-44F8-8883-3F625D0A6CFA}"/>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19</xdr:row>
      <xdr:rowOff>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5" name="Ink 14">
              <a:extLst>
                <a:ext uri="{FF2B5EF4-FFF2-40B4-BE49-F238E27FC236}">
                  <a16:creationId xmlns:a16="http://schemas.microsoft.com/office/drawing/2014/main" id="{DCCC2267-6706-4301-A051-644CD2C120AB}"/>
                </a:ext>
                <a:ext uri="{147F2762-F138-4A5C-976F-8EAC2B608ADB}">
                  <a16:predDERef xmlns:a16="http://schemas.microsoft.com/office/drawing/2014/main" pred="{68BD279F-B1C2-42D0-B7AB-0DC253D54C1B}"/>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22</xdr:row>
      <xdr:rowOff>19050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6" name="Ink 15">
              <a:extLst>
                <a:ext uri="{FF2B5EF4-FFF2-40B4-BE49-F238E27FC236}">
                  <a16:creationId xmlns:a16="http://schemas.microsoft.com/office/drawing/2014/main" id="{2B84F577-2CFA-479C-8734-1F8950ABA73D}"/>
                </a:ext>
                <a:ext uri="{147F2762-F138-4A5C-976F-8EAC2B608ADB}">
                  <a16:predDERef xmlns:a16="http://schemas.microsoft.com/office/drawing/2014/main" pred="{DCCC2267-6706-4301-A051-644CD2C120AB}"/>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19</xdr:row>
      <xdr:rowOff>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7" name="Ink 16">
              <a:extLst>
                <a:ext uri="{FF2B5EF4-FFF2-40B4-BE49-F238E27FC236}">
                  <a16:creationId xmlns:a16="http://schemas.microsoft.com/office/drawing/2014/main" id="{25971627-EF25-496E-AF40-3269DC62ECC0}"/>
                </a:ext>
                <a:ext uri="{147F2762-F138-4A5C-976F-8EAC2B608ADB}">
                  <a16:predDERef xmlns:a16="http://schemas.microsoft.com/office/drawing/2014/main" pred="{2B84F577-2CFA-479C-8734-1F8950ABA73D}"/>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19</xdr:row>
      <xdr:rowOff>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8" name="Ink 17">
              <a:extLst>
                <a:ext uri="{FF2B5EF4-FFF2-40B4-BE49-F238E27FC236}">
                  <a16:creationId xmlns:a16="http://schemas.microsoft.com/office/drawing/2014/main" id="{7C7282CC-004D-46AF-9E80-E01D652C45FD}"/>
                </a:ext>
                <a:ext uri="{147F2762-F138-4A5C-976F-8EAC2B608ADB}">
                  <a16:predDERef xmlns:a16="http://schemas.microsoft.com/office/drawing/2014/main" pred="{25971627-EF25-496E-AF40-3269DC62ECC0}"/>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19</xdr:row>
      <xdr:rowOff>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9" name="Ink 18">
              <a:extLst>
                <a:ext uri="{FF2B5EF4-FFF2-40B4-BE49-F238E27FC236}">
                  <a16:creationId xmlns:a16="http://schemas.microsoft.com/office/drawing/2014/main" id="{AF692DDB-B4AC-489B-8A39-3247B0451DF9}"/>
                </a:ext>
                <a:ext uri="{147F2762-F138-4A5C-976F-8EAC2B608ADB}">
                  <a16:predDERef xmlns:a16="http://schemas.microsoft.com/office/drawing/2014/main" pred="{7C7282CC-004D-46AF-9E80-E01D652C45FD}"/>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30</xdr:row>
      <xdr:rowOff>19050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0" name="Ink 19">
              <a:extLst>
                <a:ext uri="{FF2B5EF4-FFF2-40B4-BE49-F238E27FC236}">
                  <a16:creationId xmlns:a16="http://schemas.microsoft.com/office/drawing/2014/main" id="{A571CCC5-EA41-4888-AAC6-39AFECEC027B}"/>
                </a:ext>
                <a:ext uri="{147F2762-F138-4A5C-976F-8EAC2B608ADB}">
                  <a16:predDERef xmlns:a16="http://schemas.microsoft.com/office/drawing/2014/main" pred="{AF692DDB-B4AC-489B-8A39-3247B0451DF9}"/>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22</xdr:row>
      <xdr:rowOff>19050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21" name="Ink 20">
              <a:extLst>
                <a:ext uri="{FF2B5EF4-FFF2-40B4-BE49-F238E27FC236}">
                  <a16:creationId xmlns:a16="http://schemas.microsoft.com/office/drawing/2014/main" id="{BC64E718-57F7-43F9-90C1-5D354C7C70CD}"/>
                </a:ext>
                <a:ext uri="{147F2762-F138-4A5C-976F-8EAC2B608ADB}">
                  <a16:predDERef xmlns:a16="http://schemas.microsoft.com/office/drawing/2014/main" pred="{A571CCC5-EA41-4888-AAC6-39AFECEC027B}"/>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22</xdr:row>
      <xdr:rowOff>19050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22" name="Ink 21">
              <a:extLst>
                <a:ext uri="{FF2B5EF4-FFF2-40B4-BE49-F238E27FC236}">
                  <a16:creationId xmlns:a16="http://schemas.microsoft.com/office/drawing/2014/main" id="{F897B380-4F41-4339-BEE3-16B12B33FE12}"/>
                </a:ext>
                <a:ext uri="{147F2762-F138-4A5C-976F-8EAC2B608ADB}">
                  <a16:predDERef xmlns:a16="http://schemas.microsoft.com/office/drawing/2014/main" pred="{BC64E718-57F7-43F9-90C1-5D354C7C70CD}"/>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19</xdr:row>
      <xdr:rowOff>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23" name="Ink 22">
              <a:extLst>
                <a:ext uri="{FF2B5EF4-FFF2-40B4-BE49-F238E27FC236}">
                  <a16:creationId xmlns:a16="http://schemas.microsoft.com/office/drawing/2014/main" id="{75B80873-995D-4AA4-BAD8-9EE8A6A069E5}"/>
                </a:ext>
                <a:ext uri="{147F2762-F138-4A5C-976F-8EAC2B608ADB}">
                  <a16:predDERef xmlns:a16="http://schemas.microsoft.com/office/drawing/2014/main" pred="{F897B380-4F41-4339-BEE3-16B12B33FE12}"/>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22</xdr:row>
      <xdr:rowOff>19050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4" name="Ink 23">
              <a:extLst>
                <a:ext uri="{FF2B5EF4-FFF2-40B4-BE49-F238E27FC236}">
                  <a16:creationId xmlns:a16="http://schemas.microsoft.com/office/drawing/2014/main" id="{33EAF7B5-0A27-4975-8554-2D3A21A13068}"/>
                </a:ext>
                <a:ext uri="{147F2762-F138-4A5C-976F-8EAC2B608ADB}">
                  <a16:predDERef xmlns:a16="http://schemas.microsoft.com/office/drawing/2014/main" pred="{75B80873-995D-4AA4-BAD8-9EE8A6A069E5}"/>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19</xdr:row>
      <xdr:rowOff>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25" name="Ink 24">
              <a:extLst>
                <a:ext uri="{FF2B5EF4-FFF2-40B4-BE49-F238E27FC236}">
                  <a16:creationId xmlns:a16="http://schemas.microsoft.com/office/drawing/2014/main" id="{7C8B710A-3935-4F22-A3CA-B65D38A1CC20}"/>
                </a:ext>
                <a:ext uri="{147F2762-F138-4A5C-976F-8EAC2B608ADB}">
                  <a16:predDERef xmlns:a16="http://schemas.microsoft.com/office/drawing/2014/main" pred="{33EAF7B5-0A27-4975-8554-2D3A21A13068}"/>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19</xdr:row>
      <xdr:rowOff>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6" name="Ink 25">
              <a:extLst>
                <a:ext uri="{FF2B5EF4-FFF2-40B4-BE49-F238E27FC236}">
                  <a16:creationId xmlns:a16="http://schemas.microsoft.com/office/drawing/2014/main" id="{844E764F-579A-4C21-ADCE-00FA725742E5}"/>
                </a:ext>
                <a:ext uri="{147F2762-F138-4A5C-976F-8EAC2B608ADB}">
                  <a16:predDERef xmlns:a16="http://schemas.microsoft.com/office/drawing/2014/main" pred="{7C8B710A-3935-4F22-A3CA-B65D38A1CC20}"/>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19</xdr:row>
      <xdr:rowOff>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27" name="Ink 26">
              <a:extLst>
                <a:ext uri="{FF2B5EF4-FFF2-40B4-BE49-F238E27FC236}">
                  <a16:creationId xmlns:a16="http://schemas.microsoft.com/office/drawing/2014/main" id="{8E7D7FC5-6C88-47FC-81A6-A67F03E6629E}"/>
                </a:ext>
                <a:ext uri="{147F2762-F138-4A5C-976F-8EAC2B608ADB}">
                  <a16:predDERef xmlns:a16="http://schemas.microsoft.com/office/drawing/2014/main" pred="{844E764F-579A-4C21-ADCE-00FA725742E5}"/>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22</xdr:row>
      <xdr:rowOff>19050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8" name="Ink 27">
              <a:extLst>
                <a:ext uri="{FF2B5EF4-FFF2-40B4-BE49-F238E27FC236}">
                  <a16:creationId xmlns:a16="http://schemas.microsoft.com/office/drawing/2014/main" id="{A34B8284-6CD9-49FC-B344-C266A85B7E4E}"/>
                </a:ext>
                <a:ext uri="{147F2762-F138-4A5C-976F-8EAC2B608ADB}">
                  <a16:predDERef xmlns:a16="http://schemas.microsoft.com/office/drawing/2014/main" pred="{8E7D7FC5-6C88-47FC-81A6-A67F03E6629E}"/>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19</xdr:row>
      <xdr:rowOff>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29" name="Ink 28">
              <a:extLst>
                <a:ext uri="{FF2B5EF4-FFF2-40B4-BE49-F238E27FC236}">
                  <a16:creationId xmlns:a16="http://schemas.microsoft.com/office/drawing/2014/main" id="{81880527-1FA3-43B7-AD50-761461D58BC8}"/>
                </a:ext>
                <a:ext uri="{147F2762-F138-4A5C-976F-8EAC2B608ADB}">
                  <a16:predDERef xmlns:a16="http://schemas.microsoft.com/office/drawing/2014/main" pred="{A34B8284-6CD9-49FC-B344-C266A85B7E4E}"/>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19</xdr:row>
      <xdr:rowOff>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30" name="Ink 29">
              <a:extLst>
                <a:ext uri="{FF2B5EF4-FFF2-40B4-BE49-F238E27FC236}">
                  <a16:creationId xmlns:a16="http://schemas.microsoft.com/office/drawing/2014/main" id="{F7FD635D-8598-4D93-9020-50930B82FA0F}"/>
                </a:ext>
                <a:ext uri="{147F2762-F138-4A5C-976F-8EAC2B608ADB}">
                  <a16:predDERef xmlns:a16="http://schemas.microsoft.com/office/drawing/2014/main" pred="{81880527-1FA3-43B7-AD50-761461D58BC8}"/>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19</xdr:row>
      <xdr:rowOff>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31" name="Ink 30">
              <a:extLst>
                <a:ext uri="{FF2B5EF4-FFF2-40B4-BE49-F238E27FC236}">
                  <a16:creationId xmlns:a16="http://schemas.microsoft.com/office/drawing/2014/main" id="{EF564BD2-82CD-46B8-83B6-66A6B0DC17F1}"/>
                </a:ext>
                <a:ext uri="{147F2762-F138-4A5C-976F-8EAC2B608ADB}">
                  <a16:predDERef xmlns:a16="http://schemas.microsoft.com/office/drawing/2014/main" pred="{F7FD635D-8598-4D93-9020-50930B82FA0F}"/>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19</xdr:row>
      <xdr:rowOff>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32" name="Ink 31">
              <a:extLst>
                <a:ext uri="{FF2B5EF4-FFF2-40B4-BE49-F238E27FC236}">
                  <a16:creationId xmlns:a16="http://schemas.microsoft.com/office/drawing/2014/main" id="{FD675FBA-48D6-4CD0-8EB7-1FA5A869D539}"/>
                </a:ext>
                <a:ext uri="{147F2762-F138-4A5C-976F-8EAC2B608ADB}">
                  <a16:predDERef xmlns:a16="http://schemas.microsoft.com/office/drawing/2014/main" pred="{EF564BD2-82CD-46B8-83B6-66A6B0DC17F1}"/>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19</xdr:row>
      <xdr:rowOff>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33" name="Ink 32">
              <a:extLst>
                <a:ext uri="{FF2B5EF4-FFF2-40B4-BE49-F238E27FC236}">
                  <a16:creationId xmlns:a16="http://schemas.microsoft.com/office/drawing/2014/main" id="{2AA8579D-8923-48DF-9479-F49ACF7EF9B6}"/>
                </a:ext>
                <a:ext uri="{147F2762-F138-4A5C-976F-8EAC2B608ADB}">
                  <a16:predDERef xmlns:a16="http://schemas.microsoft.com/office/drawing/2014/main" pred="{FD675FBA-48D6-4CD0-8EB7-1FA5A869D539}"/>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19</xdr:row>
      <xdr:rowOff>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34" name="Ink 33">
              <a:extLst>
                <a:ext uri="{FF2B5EF4-FFF2-40B4-BE49-F238E27FC236}">
                  <a16:creationId xmlns:a16="http://schemas.microsoft.com/office/drawing/2014/main" id="{DFF7342B-E34F-48AC-AC52-6CA104BF24F8}"/>
                </a:ext>
                <a:ext uri="{147F2762-F138-4A5C-976F-8EAC2B608ADB}">
                  <a16:predDERef xmlns:a16="http://schemas.microsoft.com/office/drawing/2014/main" pred="{2AA8579D-8923-48DF-9479-F49ACF7EF9B6}"/>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oneCellAnchor>
    <xdr:from>
      <xdr:col>7</xdr:col>
      <xdr:colOff>0</xdr:colOff>
      <xdr:row>19</xdr:row>
      <xdr:rowOff>0</xdr:rowOff>
    </xdr:from>
    <xdr:ext cx="0" cy="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35" name="Ink 34">
              <a:extLst>
                <a:ext uri="{FF2B5EF4-FFF2-40B4-BE49-F238E27FC236}">
                  <a16:creationId xmlns:a16="http://schemas.microsoft.com/office/drawing/2014/main" id="{973808CC-61BE-4CE1-8004-E6C1904D3235}"/>
                </a:ext>
                <a:ext uri="{147F2762-F138-4A5C-976F-8EAC2B608ADB}">
                  <a16:predDERef xmlns:a16="http://schemas.microsoft.com/office/drawing/2014/main" pred="{DFF7342B-E34F-48AC-AC52-6CA104BF24F8}"/>
                </a:ext>
              </a:extLst>
            </xdr14:cNvPr>
            <xdr14:cNvContentPartPr/>
          </xdr14:nvContentPartPr>
          <xdr14:nvPr macro=""/>
          <xdr14:xfrm>
            <a:off x="6619875" y="10277475"/>
            <a:ext cx="0" cy="0"/>
          </xdr14:xfrm>
        </xdr:contentPart>
      </mc:Choice>
      <mc:Fallback xmlns="">
        <xdr:pic>
          <xdr:nvPicPr>
            <xdr:cNvPr id="6" name="">
              <a:extLst>
                <a:ext uri="{FF2B5EF4-FFF2-40B4-BE49-F238E27FC236}">
                  <a16:creationId xmlns:a16="http://schemas.microsoft.com/office/drawing/2014/main" id="{B0A99703-38EA-4591-9492-BAB3B83DCEC5}"/>
                </a:ext>
                <a:ext uri="{147F2762-F138-4A5C-976F-8EAC2B608ADB}">
                  <a16:predDERef xmlns:a16="http://schemas.microsoft.com/office/drawing/2014/main" pred="{5D29C509-2583-84DF-2FBB-32CE5054F5BE}"/>
                </a:ext>
              </a:extLst>
            </xdr:cNvPr>
            <xdr:cNvPicPr/>
          </xdr:nvPicPr>
          <xdr:blipFill>
            <a:blip xmlns:r="http://schemas.openxmlformats.org/officeDocument/2006/relationships" r:embed="rId3"/>
            <a:stretch>
              <a:fillRect/>
            </a:stretch>
          </xdr:blipFill>
          <xdr:spPr>
            <a:xfrm>
              <a:off x="6619875" y="10277475"/>
              <a:ext cx="0" cy="0"/>
            </a:xfrm>
            <a:prstGeom prst="rect">
              <a:avLst/>
            </a:prstGeom>
          </xdr:spPr>
        </xdr:pic>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08T04:40:50.764"/>
    </inkml:context>
    <inkml:brush xml:id="br0">
      <inkml:brushProperty name="width" value="0.1" units="cm"/>
      <inkml:brushProperty name="height" value="0.1" units="cm"/>
    </inkml:brush>
  </inkml:definitions>
  <inkml:trace contextRef="#ctx0" brushRef="#br0">24924 6551 16383 0 0,'0'0'0'0'0,"0"1"0"0"0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3:32.323"/>
    </inkml:context>
    <inkml:brush xml:id="br0">
      <inkml:brushProperty name="width" value="0.1" units="cm"/>
      <inkml:brushProperty name="height" value="0.1" units="cm"/>
    </inkml:brush>
  </inkml:definitions>
  <inkml:trace contextRef="#ctx0" brushRef="#br0">24924 6551 16383 0 0,'0'0'0'0'0,"0"1"0"0"0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3:41.803"/>
    </inkml:context>
    <inkml:brush xml:id="br0">
      <inkml:brushProperty name="width" value="0.1" units="cm"/>
      <inkml:brushProperty name="height" value="0.1" units="cm"/>
    </inkml:brush>
  </inkml:definitions>
  <inkml:trace contextRef="#ctx0" brushRef="#br0">24924 6551 16383 0 0,'0'0'0'0'0,"0"1"0"0"0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3:41.804"/>
    </inkml:context>
    <inkml:brush xml:id="br0">
      <inkml:brushProperty name="width" value="0.1" units="cm"/>
      <inkml:brushProperty name="height" value="0.1" units="cm"/>
    </inkml:brush>
  </inkml:definitions>
  <inkml:trace contextRef="#ctx0" brushRef="#br0">24924 6551 16383 0 0,'0'0'0'0'0,"0"1"0"0"0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3:49.221"/>
    </inkml:context>
    <inkml:brush xml:id="br0">
      <inkml:brushProperty name="width" value="0.1" units="cm"/>
      <inkml:brushProperty name="height" value="0.1" units="cm"/>
    </inkml:brush>
  </inkml:definitions>
  <inkml:trace contextRef="#ctx0" brushRef="#br0">24924 6551 16383 0 0,'0'0'0'0'0,"0"1"0"0"0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3:49.222"/>
    </inkml:context>
    <inkml:brush xml:id="br0">
      <inkml:brushProperty name="width" value="0.1" units="cm"/>
      <inkml:brushProperty name="height" value="0.1" units="cm"/>
    </inkml:brush>
  </inkml:definitions>
  <inkml:trace contextRef="#ctx0" brushRef="#br0">24924 6551 16383 0 0,'0'0'0'0'0,"0"1"0"0"0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3:49.223"/>
    </inkml:context>
    <inkml:brush xml:id="br0">
      <inkml:brushProperty name="width" value="0.1" units="cm"/>
      <inkml:brushProperty name="height" value="0.1" units="cm"/>
    </inkml:brush>
  </inkml:definitions>
  <inkml:trace contextRef="#ctx0" brushRef="#br0">24924 6551 16383 0 0,'0'0'0'0'0,"0"1"0"0"0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3:49.224"/>
    </inkml:context>
    <inkml:brush xml:id="br0">
      <inkml:brushProperty name="width" value="0.1" units="cm"/>
      <inkml:brushProperty name="height" value="0.1" units="cm"/>
    </inkml:brush>
  </inkml:definitions>
  <inkml:trace contextRef="#ctx0" brushRef="#br0">24924 6551 16383 0 0,'0'0'0'0'0,"0"1"0"0"0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3:58.956"/>
    </inkml:context>
    <inkml:brush xml:id="br0">
      <inkml:brushProperty name="width" value="0.1" units="cm"/>
      <inkml:brushProperty name="height" value="0.1" units="cm"/>
    </inkml:brush>
  </inkml:definitions>
  <inkml:trace contextRef="#ctx0" brushRef="#br0">24924 6551 16383 0 0,'0'0'0'0'0,"0"1"0"0"0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3:58.957"/>
    </inkml:context>
    <inkml:brush xml:id="br0">
      <inkml:brushProperty name="width" value="0.1" units="cm"/>
      <inkml:brushProperty name="height" value="0.1" units="cm"/>
    </inkml:brush>
  </inkml:definitions>
  <inkml:trace contextRef="#ctx0" brushRef="#br0">24924 6551 16383 0 0,'0'0'0'0'0,"0"1"0"0"0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3:58.958"/>
    </inkml:context>
    <inkml:brush xml:id="br0">
      <inkml:brushProperty name="width" value="0.1" units="cm"/>
      <inkml:brushProperty name="height" value="0.1" units="cm"/>
    </inkml:brush>
  </inkml:definitions>
  <inkml:trace contextRef="#ctx0" brushRef="#br0">24924 6551 16383 0 0,'0'0'0'0'0,"0"1"0"0"0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3:58.959"/>
    </inkml:context>
    <inkml:brush xml:id="br0">
      <inkml:brushProperty name="width" value="0.1" units="cm"/>
      <inkml:brushProperty name="height" value="0.1" units="cm"/>
    </inkml:brush>
  </inkml:definitions>
  <inkml:trace contextRef="#ctx0" brushRef="#br0">24924 6551 16383 0 0,'0'0'0'0'0,"0"1"0"0"0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3:58.960"/>
    </inkml:context>
    <inkml:brush xml:id="br0">
      <inkml:brushProperty name="width" value="0.1" units="cm"/>
      <inkml:brushProperty name="height" value="0.1" units="cm"/>
    </inkml:brush>
  </inkml:definitions>
  <inkml:trace contextRef="#ctx0" brushRef="#br0">24924 6551 16383 0 0,'0'0'0'0'0,"0"1"0"0"0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3:58.961"/>
    </inkml:context>
    <inkml:brush xml:id="br0">
      <inkml:brushProperty name="width" value="0.1" units="cm"/>
      <inkml:brushProperty name="height" value="0.1" units="cm"/>
    </inkml:brush>
  </inkml:definitions>
  <inkml:trace contextRef="#ctx0" brushRef="#br0">24924 6551 16383 0 0,'0'0'0'0'0,"0"1"0"0"0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3:58.962"/>
    </inkml:context>
    <inkml:brush xml:id="br0">
      <inkml:brushProperty name="width" value="0.1" units="cm"/>
      <inkml:brushProperty name="height" value="0.1" units="cm"/>
    </inkml:brush>
  </inkml:definitions>
  <inkml:trace contextRef="#ctx0" brushRef="#br0">24924 6551 16383 0 0,'0'0'0'0'0,"0"1"0"0"0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3:58.963"/>
    </inkml:context>
    <inkml:brush xml:id="br0">
      <inkml:brushProperty name="width" value="0.1" units="cm"/>
      <inkml:brushProperty name="height" value="0.1" units="cm"/>
    </inkml:brush>
  </inkml:definitions>
  <inkml:trace contextRef="#ctx0" brushRef="#br0">24924 6551 16383 0 0,'0'0'0'0'0,"0"1"0"0"0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4:05.292"/>
    </inkml:context>
    <inkml:brush xml:id="br0">
      <inkml:brushProperty name="width" value="0.1" units="cm"/>
      <inkml:brushProperty name="height" value="0.1" units="cm"/>
    </inkml:brush>
  </inkml:definitions>
  <inkml:trace contextRef="#ctx0" brushRef="#br0">24924 6551 16383 0 0,'0'0'0'0'0,"0"1"0"0"0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4:05.293"/>
    </inkml:context>
    <inkml:brush xml:id="br0">
      <inkml:brushProperty name="width" value="0.1" units="cm"/>
      <inkml:brushProperty name="height" value="0.1" units="cm"/>
    </inkml:brush>
  </inkml:definitions>
  <inkml:trace contextRef="#ctx0" brushRef="#br0">24924 6551 16383 0 0,'0'0'0'0'0,"0"1"0"0"0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4:05.294"/>
    </inkml:context>
    <inkml:brush xml:id="br0">
      <inkml:brushProperty name="width" value="0.1" units="cm"/>
      <inkml:brushProperty name="height" value="0.1" units="cm"/>
    </inkml:brush>
  </inkml:definitions>
  <inkml:trace contextRef="#ctx0" brushRef="#br0">24924 6551 16383 0 0,'0'0'0'0'0,"0"1"0"0"0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4:05.295"/>
    </inkml:context>
    <inkml:brush xml:id="br0">
      <inkml:brushProperty name="width" value="0.1" units="cm"/>
      <inkml:brushProperty name="height" value="0.1" units="cm"/>
    </inkml:brush>
  </inkml:definitions>
  <inkml:trace contextRef="#ctx0" brushRef="#br0">24924 6551 16383 0 0,'0'0'0'0'0,"0"1"0"0"0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4:05.296"/>
    </inkml:context>
    <inkml:brush xml:id="br0">
      <inkml:brushProperty name="width" value="0.1" units="cm"/>
      <inkml:brushProperty name="height" value="0.1" units="cm"/>
    </inkml:brush>
  </inkml:definitions>
  <inkml:trace contextRef="#ctx0" brushRef="#br0">24924 6551 16383 0 0,'0'0'0'0'0,"0"1"0"0"0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4:05.297"/>
    </inkml:context>
    <inkml:brush xml:id="br0">
      <inkml:brushProperty name="width" value="0.1" units="cm"/>
      <inkml:brushProperty name="height" value="0.1" units="cm"/>
    </inkml:brush>
  </inkml:definitions>
  <inkml:trace contextRef="#ctx0" brushRef="#br0">24924 6551 16383 0 0,'0'0'0'0'0,"0"1"0"0"0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4:05.298"/>
    </inkml:context>
    <inkml:brush xml:id="br0">
      <inkml:brushProperty name="width" value="0.1" units="cm"/>
      <inkml:brushProperty name="height" value="0.1" units="cm"/>
    </inkml:brush>
  </inkml:definitions>
  <inkml:trace contextRef="#ctx0" brushRef="#br0">24924 6551 16383 0 0,'0'0'0'0'0,"0"1"0"0"0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4:05.299"/>
    </inkml:context>
    <inkml:brush xml:id="br0">
      <inkml:brushProperty name="width" value="0.1" units="cm"/>
      <inkml:brushProperty name="height" value="0.1" units="cm"/>
    </inkml:brush>
  </inkml:definitions>
  <inkml:trace contextRef="#ctx0" brushRef="#br0">24924 6551 16383 0 0,'0'0'0'0'0,"0"1"0"0"0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4:05.300"/>
    </inkml:context>
    <inkml:brush xml:id="br0">
      <inkml:brushProperty name="width" value="0.1" units="cm"/>
      <inkml:brushProperty name="height" value="0.1" units="cm"/>
    </inkml:brush>
  </inkml:definitions>
  <inkml:trace contextRef="#ctx0" brushRef="#br0">24924 6551 16383 0 0,'0'0'0'0'0,"0"1"0"0"0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4:05.301"/>
    </inkml:context>
    <inkml:brush xml:id="br0">
      <inkml:brushProperty name="width" value="0.1" units="cm"/>
      <inkml:brushProperty name="height" value="0.1" units="cm"/>
    </inkml:brush>
  </inkml:definitions>
  <inkml:trace contextRef="#ctx0" brushRef="#br0">24924 6551 16383 0 0,'0'0'0'0'0,"0"1"0"0"0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4:05.302"/>
    </inkml:context>
    <inkml:brush xml:id="br0">
      <inkml:brushProperty name="width" value="0.1" units="cm"/>
      <inkml:brushProperty name="height" value="0.1" units="cm"/>
    </inkml:brush>
  </inkml:definitions>
  <inkml:trace contextRef="#ctx0" brushRef="#br0">24924 6551 16383 0 0,'0'0'0'0'0,"0"1"0"0"0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4:05.303"/>
    </inkml:context>
    <inkml:brush xml:id="br0">
      <inkml:brushProperty name="width" value="0.1" units="cm"/>
      <inkml:brushProperty name="height" value="0.1" units="cm"/>
    </inkml:brush>
  </inkml:definitions>
  <inkml:trace contextRef="#ctx0" brushRef="#br0">24924 6551 16383 0 0,'0'0'0'0'0,"0"1"0"0"0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4:05.304"/>
    </inkml:context>
    <inkml:brush xml:id="br0">
      <inkml:brushProperty name="width" value="0.1" units="cm"/>
      <inkml:brushProperty name="height" value="0.1" units="cm"/>
    </inkml:brush>
  </inkml:definitions>
  <inkml:trace contextRef="#ctx0" brushRef="#br0">24924 6551 16383 0 0,'0'0'0'0'0,"0"1"0"0"0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4:05.305"/>
    </inkml:context>
    <inkml:brush xml:id="br0">
      <inkml:brushProperty name="width" value="0.1" units="cm"/>
      <inkml:brushProperty name="height" value="0.1" units="cm"/>
    </inkml:brush>
  </inkml:definitions>
  <inkml:trace contextRef="#ctx0" brushRef="#br0">24924 6551 16383 0 0,'0'0'0'0'0,"0"1"0"0"0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4:05.306"/>
    </inkml:context>
    <inkml:brush xml:id="br0">
      <inkml:brushProperty name="width" value="0.1" units="cm"/>
      <inkml:brushProperty name="height" value="0.1" units="cm"/>
    </inkml:brush>
  </inkml:definitions>
  <inkml:trace contextRef="#ctx0" brushRef="#br0">24924 6551 16383 0 0,'0'0'0'0'0,"0"1"0"0"0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28T06:54:05.307"/>
    </inkml:context>
    <inkml:brush xml:id="br0">
      <inkml:brushProperty name="width" value="0.1" units="cm"/>
      <inkml:brushProperty name="height" value="0.1" units="cm"/>
    </inkml:brush>
  </inkml:definitions>
  <inkml:trace contextRef="#ctx0" brushRef="#br0">24924 6551 16383 0 0,'0'0'0'0'0,"0"1"0"0"0</inkml:trace>
</inkm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30FA8-58CE-4A95-8191-CDCEE6EECA63}">
  <sheetPr>
    <pageSetUpPr fitToPage="1"/>
  </sheetPr>
  <dimension ref="A1:AJ48"/>
  <sheetViews>
    <sheetView tabSelected="1" view="pageBreakPreview" topLeftCell="A9" zoomScaleNormal="100" zoomScaleSheetLayoutView="100" workbookViewId="0">
      <selection activeCell="C20" sqref="C20:M20"/>
    </sheetView>
  </sheetViews>
  <sheetFormatPr defaultColWidth="11.42578125" defaultRowHeight="12.75" customHeight="1"/>
  <cols>
    <col min="1" max="1" width="11.5703125" customWidth="1"/>
    <col min="2" max="2" width="15.42578125" customWidth="1"/>
    <col min="3" max="3" width="13.42578125" customWidth="1"/>
    <col min="4" max="4" width="15.7109375" customWidth="1"/>
    <col min="5" max="5" width="18.28515625" customWidth="1"/>
    <col min="6" max="6" width="30" customWidth="1"/>
    <col min="7" max="7" width="22.140625" customWidth="1"/>
    <col min="8" max="8" width="10.140625" customWidth="1"/>
    <col min="9" max="9" width="14.85546875" customWidth="1"/>
    <col min="10" max="10" width="15.140625" customWidth="1"/>
    <col min="11" max="11" width="36.140625" customWidth="1"/>
    <col min="12" max="12" width="25.7109375" customWidth="1"/>
    <col min="13" max="13" width="15.5703125" customWidth="1"/>
    <col min="14" max="14" width="16" customWidth="1"/>
    <col min="15" max="15" width="17.42578125" customWidth="1"/>
    <col min="16" max="16" width="15.42578125" style="14" bestFit="1" customWidth="1"/>
    <col min="17" max="17" width="14.28515625" style="14" customWidth="1"/>
    <col min="18" max="18" width="15.85546875" style="14" customWidth="1"/>
    <col min="19" max="19" width="17.42578125" style="14" customWidth="1"/>
    <col min="20" max="21" width="14" style="14" bestFit="1" customWidth="1"/>
    <col min="22" max="22" width="16.85546875" style="14" customWidth="1"/>
    <col min="23" max="23" width="13.140625" style="14" customWidth="1"/>
    <col min="24" max="24" width="10.7109375" style="14" customWidth="1"/>
    <col min="25" max="25" width="9.140625" style="14" customWidth="1"/>
    <col min="26" max="26" width="13.7109375" style="15" customWidth="1"/>
    <col min="27" max="27" width="21.140625" style="15" customWidth="1"/>
    <col min="28" max="28" width="13.140625" style="15" customWidth="1"/>
    <col min="29" max="29" width="12.140625" style="14" customWidth="1"/>
    <col min="30" max="30" width="34.5703125" style="14" bestFit="1" customWidth="1"/>
    <col min="31" max="31" width="14.85546875" style="14" bestFit="1" customWidth="1"/>
    <col min="32" max="32" width="21.7109375" style="14" customWidth="1"/>
    <col min="33" max="33" width="9.140625" customWidth="1"/>
    <col min="34" max="34" width="20.140625" customWidth="1"/>
    <col min="35" max="35" width="12.7109375" customWidth="1"/>
    <col min="36" max="36" width="14.85546875" customWidth="1"/>
    <col min="37" max="254" width="9.140625" customWidth="1"/>
  </cols>
  <sheetData>
    <row r="1" spans="1:36" ht="22.5" customHeight="1">
      <c r="G1" s="16"/>
      <c r="H1" s="16"/>
      <c r="I1" s="16"/>
      <c r="J1" s="16"/>
      <c r="K1" s="16"/>
      <c r="L1" s="16"/>
      <c r="M1" s="83"/>
      <c r="N1" s="17"/>
    </row>
    <row r="2" spans="1:36" ht="15.95" customHeight="1">
      <c r="G2" s="18"/>
      <c r="H2" s="18"/>
      <c r="I2" s="18"/>
      <c r="J2" s="18"/>
      <c r="K2" s="18"/>
      <c r="L2" s="17"/>
      <c r="M2" s="17" t="s">
        <v>0</v>
      </c>
      <c r="N2" s="19"/>
      <c r="O2" s="13"/>
      <c r="P2" s="20"/>
      <c r="Q2" s="20"/>
      <c r="R2" s="20"/>
      <c r="S2" s="20"/>
      <c r="T2" s="20"/>
    </row>
    <row r="3" spans="1:36" ht="15.95" customHeight="1">
      <c r="G3" s="21"/>
      <c r="H3" s="21"/>
      <c r="I3" s="21"/>
      <c r="J3" s="21"/>
      <c r="K3" s="21"/>
      <c r="L3" s="88"/>
      <c r="M3" s="88" t="s">
        <v>1</v>
      </c>
      <c r="N3" s="19"/>
      <c r="O3" s="16"/>
      <c r="P3" s="20"/>
      <c r="Q3" s="20"/>
      <c r="R3" s="20"/>
      <c r="S3" s="20"/>
      <c r="T3" s="20"/>
    </row>
    <row r="4" spans="1:36" ht="15.95" customHeight="1">
      <c r="G4" s="18"/>
      <c r="H4" s="18"/>
      <c r="I4" s="18"/>
      <c r="J4" s="18"/>
      <c r="K4" s="18"/>
      <c r="L4" s="89"/>
      <c r="M4" s="89" t="s">
        <v>2</v>
      </c>
      <c r="N4" s="22"/>
      <c r="O4" s="16"/>
      <c r="P4" s="23"/>
      <c r="Q4" s="23"/>
      <c r="R4" s="23"/>
      <c r="S4" s="23"/>
      <c r="T4" s="23"/>
    </row>
    <row r="5" spans="1:36">
      <c r="G5" s="21"/>
      <c r="H5" s="21"/>
      <c r="I5" s="21"/>
      <c r="J5" s="21"/>
      <c r="K5" s="21"/>
      <c r="L5" s="21"/>
      <c r="M5" s="84"/>
      <c r="O5" s="21"/>
      <c r="P5" s="23"/>
      <c r="Q5" s="23"/>
      <c r="R5" s="23"/>
      <c r="S5" s="23"/>
      <c r="T5" s="23"/>
    </row>
    <row r="6" spans="1:36" s="10" customFormat="1" ht="34.5" customHeight="1">
      <c r="A6" s="128" t="s">
        <v>3</v>
      </c>
      <c r="B6" s="128"/>
      <c r="C6" s="128"/>
      <c r="D6" s="128"/>
      <c r="E6" s="128"/>
      <c r="F6" s="128"/>
      <c r="G6" s="128"/>
      <c r="H6" s="128"/>
      <c r="I6" s="128"/>
      <c r="J6" s="128"/>
      <c r="K6" s="128"/>
      <c r="L6" s="128"/>
      <c r="M6" s="113"/>
      <c r="N6" s="72"/>
      <c r="P6" s="24"/>
      <c r="Q6" s="24"/>
      <c r="R6" s="24"/>
      <c r="S6" s="24"/>
      <c r="T6" s="24"/>
      <c r="U6" s="24"/>
      <c r="V6" s="24"/>
      <c r="W6" s="24"/>
      <c r="X6" s="24"/>
      <c r="Y6" s="24"/>
      <c r="Z6" s="25"/>
      <c r="AA6" s="25"/>
      <c r="AB6" s="25"/>
      <c r="AC6" s="24"/>
      <c r="AD6" s="24"/>
      <c r="AE6" s="24"/>
      <c r="AF6" s="24"/>
    </row>
    <row r="7" spans="1:36" ht="15" customHeight="1">
      <c r="P7"/>
      <c r="Q7"/>
      <c r="R7"/>
      <c r="S7"/>
    </row>
    <row r="8" spans="1:36" ht="22.5" customHeight="1">
      <c r="B8" s="13" t="s">
        <v>4</v>
      </c>
      <c r="C8" s="91" t="s">
        <v>5</v>
      </c>
      <c r="D8" s="26"/>
      <c r="I8" s="13"/>
      <c r="J8" s="13"/>
      <c r="K8" s="16" t="s">
        <v>6</v>
      </c>
      <c r="L8" s="90">
        <v>46185</v>
      </c>
      <c r="M8" s="26"/>
      <c r="N8" s="26"/>
      <c r="P8"/>
      <c r="Q8"/>
      <c r="R8"/>
      <c r="S8"/>
      <c r="T8"/>
      <c r="U8"/>
      <c r="Z8" s="14"/>
      <c r="AA8" s="14"/>
      <c r="AC8" s="15"/>
      <c r="AD8" s="15"/>
      <c r="AG8" s="14"/>
      <c r="AH8" s="14"/>
    </row>
    <row r="9" spans="1:36" ht="15.95" customHeight="1">
      <c r="A9" s="27"/>
      <c r="I9" s="16"/>
      <c r="J9" s="16"/>
      <c r="K9" s="16"/>
      <c r="L9" s="16"/>
      <c r="M9" s="28"/>
      <c r="N9" s="28"/>
    </row>
    <row r="10" spans="1:36">
      <c r="A10" s="2"/>
      <c r="B10" s="2"/>
      <c r="C10" s="2"/>
      <c r="F10" s="2"/>
      <c r="O10" s="14"/>
      <c r="Y10" s="15"/>
      <c r="AB10" s="14"/>
      <c r="AF10"/>
    </row>
    <row r="11" spans="1:36">
      <c r="O11" s="40" t="s">
        <v>7</v>
      </c>
      <c r="P11" s="40"/>
      <c r="Q11" s="40"/>
      <c r="R11" s="29" t="s">
        <v>8</v>
      </c>
      <c r="V11" s="14" t="s">
        <v>9</v>
      </c>
      <c r="W11">
        <f>COUNT(B15:B19)</f>
        <v>5</v>
      </c>
      <c r="Y11" s="15"/>
      <c r="AB11" s="14"/>
      <c r="AF11"/>
    </row>
    <row r="12" spans="1:36">
      <c r="F12" t="s">
        <v>10</v>
      </c>
      <c r="O12" s="14"/>
      <c r="Y12" s="15"/>
      <c r="AB12" s="14"/>
      <c r="AF12"/>
    </row>
    <row r="13" spans="1:36" s="11" customFormat="1" ht="24.95" customHeight="1">
      <c r="B13" s="134" t="s">
        <v>11</v>
      </c>
      <c r="C13" s="149" t="s">
        <v>12</v>
      </c>
      <c r="D13" s="149" t="s">
        <v>13</v>
      </c>
      <c r="E13" s="156" t="s">
        <v>14</v>
      </c>
      <c r="F13" s="158" t="s">
        <v>15</v>
      </c>
      <c r="G13" s="149" t="s">
        <v>16</v>
      </c>
      <c r="H13" s="149" t="s">
        <v>17</v>
      </c>
      <c r="I13" s="136" t="s">
        <v>18</v>
      </c>
      <c r="J13" s="136" t="s">
        <v>19</v>
      </c>
      <c r="K13" s="136" t="s">
        <v>20</v>
      </c>
      <c r="L13" s="149" t="s">
        <v>21</v>
      </c>
      <c r="M13" s="136" t="s">
        <v>22</v>
      </c>
      <c r="N13" s="71"/>
      <c r="O13" s="71"/>
      <c r="P13" s="71"/>
      <c r="R13" s="129" t="s">
        <v>23</v>
      </c>
      <c r="S13" s="130"/>
      <c r="T13" s="130"/>
      <c r="U13" s="130"/>
      <c r="V13" s="130"/>
      <c r="W13" s="130"/>
      <c r="X13" s="129" t="s">
        <v>24</v>
      </c>
      <c r="Y13" s="130"/>
      <c r="Z13" s="130"/>
      <c r="AA13" s="130"/>
      <c r="AB13" s="145"/>
      <c r="AC13" s="146" t="s">
        <v>25</v>
      </c>
      <c r="AD13" s="147"/>
      <c r="AE13" s="148"/>
      <c r="AF13" s="129" t="s">
        <v>26</v>
      </c>
      <c r="AG13" s="130"/>
      <c r="AH13" s="145"/>
      <c r="AI13" s="143" t="s">
        <v>27</v>
      </c>
      <c r="AJ13" s="139" t="s">
        <v>28</v>
      </c>
    </row>
    <row r="14" spans="1:36" s="11" customFormat="1" ht="33.950000000000003" customHeight="1">
      <c r="B14" s="135"/>
      <c r="C14" s="152"/>
      <c r="D14" s="152"/>
      <c r="E14" s="157"/>
      <c r="F14" s="159"/>
      <c r="G14" s="152"/>
      <c r="H14" s="152"/>
      <c r="I14" s="137"/>
      <c r="J14" s="137"/>
      <c r="K14" s="137"/>
      <c r="L14" s="150"/>
      <c r="M14" s="137"/>
      <c r="N14" s="71"/>
      <c r="O14" s="71"/>
      <c r="P14" s="71"/>
      <c r="Q14" s="85" t="s">
        <v>29</v>
      </c>
      <c r="R14" s="76" t="s">
        <v>30</v>
      </c>
      <c r="S14" s="77" t="s">
        <v>31</v>
      </c>
      <c r="T14" s="77" t="s">
        <v>32</v>
      </c>
      <c r="U14" s="75" t="s">
        <v>33</v>
      </c>
      <c r="V14" s="74" t="s">
        <v>34</v>
      </c>
      <c r="W14" s="74" t="s">
        <v>35</v>
      </c>
      <c r="X14" s="31" t="s">
        <v>36</v>
      </c>
      <c r="Y14" s="31" t="s">
        <v>37</v>
      </c>
      <c r="Z14" s="31" t="s">
        <v>38</v>
      </c>
      <c r="AA14" s="31" t="s">
        <v>39</v>
      </c>
      <c r="AB14" s="31" t="s">
        <v>40</v>
      </c>
      <c r="AC14" s="32" t="s">
        <v>41</v>
      </c>
      <c r="AD14" s="69" t="s">
        <v>32</v>
      </c>
      <c r="AE14" s="32" t="s">
        <v>35</v>
      </c>
      <c r="AF14" s="31" t="s">
        <v>41</v>
      </c>
      <c r="AG14" s="30" t="s">
        <v>42</v>
      </c>
      <c r="AH14" s="31" t="s">
        <v>35</v>
      </c>
      <c r="AI14" s="144"/>
      <c r="AJ14" s="140"/>
    </row>
    <row r="15" spans="1:36" s="11" customFormat="1" ht="72">
      <c r="B15" s="105">
        <v>1</v>
      </c>
      <c r="C15" s="106" t="s">
        <v>43</v>
      </c>
      <c r="D15" s="153" t="s">
        <v>44</v>
      </c>
      <c r="E15" s="106" t="s">
        <v>45</v>
      </c>
      <c r="F15" s="155" t="s">
        <v>46</v>
      </c>
      <c r="G15" s="155" t="s">
        <v>47</v>
      </c>
      <c r="H15" s="106">
        <v>500</v>
      </c>
      <c r="I15" s="109">
        <f>S15*(1+AC15)+AB15</f>
        <v>18.904554152315345</v>
      </c>
      <c r="J15" s="106">
        <v>0.79</v>
      </c>
      <c r="K15" s="155" t="s">
        <v>48</v>
      </c>
      <c r="L15" s="154" t="s">
        <v>49</v>
      </c>
      <c r="M15" s="120">
        <f>W15*(1+AE15)</f>
        <v>18252.123995407579</v>
      </c>
      <c r="N15" s="71"/>
      <c r="O15" s="71"/>
      <c r="P15" s="71"/>
      <c r="Q15" s="107">
        <v>391000</v>
      </c>
      <c r="R15" s="108">
        <f>Q15</f>
        <v>391000</v>
      </c>
      <c r="S15" s="81">
        <f>R15/$T$22</f>
        <v>14.963643321852278</v>
      </c>
      <c r="T15" s="77"/>
      <c r="U15" s="107">
        <v>441600000</v>
      </c>
      <c r="V15" s="74">
        <f>U15</f>
        <v>441600000</v>
      </c>
      <c r="W15" s="121">
        <f>U15/$T$22</f>
        <v>16900.114810562573</v>
      </c>
      <c r="X15" s="31"/>
      <c r="Y15" s="31"/>
      <c r="Z15" s="31"/>
      <c r="AA15" s="31"/>
      <c r="AB15" s="31">
        <f>$Z$21/$W$11/H15</f>
        <v>0.2</v>
      </c>
      <c r="AC15" s="32">
        <v>0.25</v>
      </c>
      <c r="AD15" s="69"/>
      <c r="AE15" s="73">
        <v>0.08</v>
      </c>
      <c r="AF15" s="126">
        <f>(I15-S15)*H15</f>
        <v>1970.4554152315338</v>
      </c>
      <c r="AG15" s="30"/>
      <c r="AH15" s="31">
        <f>M15-W15</f>
        <v>1352.0091848450065</v>
      </c>
      <c r="AI15" s="122">
        <f>AF15+AG15+AH15</f>
        <v>3322.4646000765406</v>
      </c>
      <c r="AJ15" s="141">
        <f>SUM(AI15:AI19)-SUMPRODUCT(AB15:AB19,H15:H19)</f>
        <v>11135.399923459627</v>
      </c>
    </row>
    <row r="16" spans="1:36" s="11" customFormat="1" ht="72">
      <c r="B16" s="105">
        <v>2</v>
      </c>
      <c r="C16" s="106" t="s">
        <v>50</v>
      </c>
      <c r="D16" s="153" t="s">
        <v>44</v>
      </c>
      <c r="E16" s="106" t="s">
        <v>51</v>
      </c>
      <c r="F16" s="106" t="s">
        <v>52</v>
      </c>
      <c r="G16" s="106" t="s">
        <v>47</v>
      </c>
      <c r="H16" s="106">
        <v>100</v>
      </c>
      <c r="I16" s="109">
        <f>S16*(1+AC16)+AB16</f>
        <v>19.513203214695753</v>
      </c>
      <c r="J16" s="106">
        <v>0.62</v>
      </c>
      <c r="K16" s="155" t="s">
        <v>48</v>
      </c>
      <c r="L16" s="154" t="s">
        <v>49</v>
      </c>
      <c r="M16" s="120">
        <f>W16*(1+AE16)</f>
        <v>17508.151549942595</v>
      </c>
      <c r="N16" s="71"/>
      <c r="O16" s="71"/>
      <c r="P16" s="71"/>
      <c r="Q16" s="107">
        <v>387000</v>
      </c>
      <c r="R16" s="108">
        <f>Q16</f>
        <v>387000</v>
      </c>
      <c r="S16" s="81">
        <f>R16/$T$22</f>
        <v>14.810562571756602</v>
      </c>
      <c r="T16" s="77"/>
      <c r="U16" s="107">
        <v>423600000</v>
      </c>
      <c r="V16" s="74">
        <f>U16</f>
        <v>423600000</v>
      </c>
      <c r="W16" s="121">
        <f>U16/$T$22</f>
        <v>16211.251435132031</v>
      </c>
      <c r="X16" s="31"/>
      <c r="Y16" s="31"/>
      <c r="Z16" s="31"/>
      <c r="AA16" s="31"/>
      <c r="AB16" s="31">
        <f>$Z$21/$W$11/H16</f>
        <v>1</v>
      </c>
      <c r="AC16" s="32">
        <v>0.25</v>
      </c>
      <c r="AD16" s="69"/>
      <c r="AE16" s="73">
        <v>0.08</v>
      </c>
      <c r="AF16" s="126">
        <f>(I16-S16)*H16</f>
        <v>470.26406429391511</v>
      </c>
      <c r="AG16" s="30"/>
      <c r="AH16" s="31">
        <f t="shared" ref="AH16:AH19" si="0">M16-W16</f>
        <v>1296.9001148105635</v>
      </c>
      <c r="AI16" s="122">
        <f>AF16+AG16+AH16</f>
        <v>1767.1641791044785</v>
      </c>
      <c r="AJ16" s="151"/>
    </row>
    <row r="17" spans="2:36" s="11" customFormat="1" ht="86.25">
      <c r="B17" s="105">
        <v>3</v>
      </c>
      <c r="C17" s="106" t="s">
        <v>53</v>
      </c>
      <c r="D17" s="153" t="s">
        <v>44</v>
      </c>
      <c r="E17" s="106" t="s">
        <v>54</v>
      </c>
      <c r="F17" s="106" t="s">
        <v>55</v>
      </c>
      <c r="G17" s="106" t="s">
        <v>47</v>
      </c>
      <c r="H17" s="106">
        <v>500</v>
      </c>
      <c r="I17" s="109">
        <f>S17*(1+AC17)+AB17</f>
        <v>8.8107921928817454</v>
      </c>
      <c r="J17" s="106">
        <v>0.28000000000000003</v>
      </c>
      <c r="K17" s="155" t="s">
        <v>56</v>
      </c>
      <c r="L17" s="154" t="s">
        <v>49</v>
      </c>
      <c r="M17" s="120">
        <f t="shared" ref="M17:M19" si="1">W17*(1+AE17)</f>
        <v>15573.82319173364</v>
      </c>
      <c r="N17" s="71"/>
      <c r="O17" s="71"/>
      <c r="P17" s="71"/>
      <c r="Q17" s="107">
        <v>180000</v>
      </c>
      <c r="R17" s="108">
        <f>Q17</f>
        <v>180000</v>
      </c>
      <c r="S17" s="81">
        <f>R17/$T$22</f>
        <v>6.8886337543053964</v>
      </c>
      <c r="T17" s="77"/>
      <c r="U17" s="107">
        <v>376800000</v>
      </c>
      <c r="V17" s="74">
        <f>U17</f>
        <v>376800000</v>
      </c>
      <c r="W17" s="86">
        <f>U17/$T$22</f>
        <v>14420.206659012629</v>
      </c>
      <c r="X17" s="31"/>
      <c r="Y17" s="31"/>
      <c r="Z17" s="31"/>
      <c r="AA17" s="31"/>
      <c r="AB17" s="31">
        <f>$Z$21/$W$11/H17</f>
        <v>0.2</v>
      </c>
      <c r="AC17" s="32">
        <v>0.25</v>
      </c>
      <c r="AD17" s="69"/>
      <c r="AE17" s="73">
        <v>0.08</v>
      </c>
      <c r="AF17" s="126">
        <f>(I17-S17)*H17</f>
        <v>961.0792192881745</v>
      </c>
      <c r="AG17" s="30"/>
      <c r="AH17" s="31">
        <f t="shared" si="0"/>
        <v>1153.616532721011</v>
      </c>
      <c r="AI17" s="122">
        <f t="shared" ref="AI17:AI19" si="2">AF17+AG17+AH17</f>
        <v>2114.6957520091855</v>
      </c>
      <c r="AJ17" s="142"/>
    </row>
    <row r="18" spans="2:36" s="11" customFormat="1" ht="86.25">
      <c r="B18" s="105">
        <v>4</v>
      </c>
      <c r="C18" s="106" t="s">
        <v>57</v>
      </c>
      <c r="D18" s="106" t="s">
        <v>58</v>
      </c>
      <c r="E18" s="106" t="s">
        <v>59</v>
      </c>
      <c r="F18" s="155" t="s">
        <v>60</v>
      </c>
      <c r="G18" s="106" t="s">
        <v>47</v>
      </c>
      <c r="H18" s="106">
        <v>500</v>
      </c>
      <c r="I18" s="109">
        <f>S18*(1+AC18)+AB18</f>
        <v>7.6626865671641795</v>
      </c>
      <c r="J18" s="106">
        <v>0.215</v>
      </c>
      <c r="K18" s="155" t="s">
        <v>61</v>
      </c>
      <c r="L18" s="154" t="s">
        <v>49</v>
      </c>
      <c r="M18" s="120">
        <f t="shared" si="1"/>
        <v>18549.71297359357</v>
      </c>
      <c r="N18" s="71"/>
      <c r="O18" s="71"/>
      <c r="P18" s="71"/>
      <c r="Q18" s="107">
        <v>156000</v>
      </c>
      <c r="R18" s="108">
        <f t="shared" ref="R18:R19" si="3">Q18</f>
        <v>156000</v>
      </c>
      <c r="S18" s="81">
        <f>R18/$T$22</f>
        <v>5.9701492537313436</v>
      </c>
      <c r="T18" s="77"/>
      <c r="U18" s="107">
        <v>448800000</v>
      </c>
      <c r="V18" s="74">
        <f t="shared" ref="V18:V19" si="4">U18</f>
        <v>448800000</v>
      </c>
      <c r="W18" s="86">
        <f>U18/$T$22</f>
        <v>17175.660160734787</v>
      </c>
      <c r="X18" s="31"/>
      <c r="Y18" s="31"/>
      <c r="Z18" s="31"/>
      <c r="AA18" s="31"/>
      <c r="AB18" s="31">
        <f>$Z$21/$W$11/H18</f>
        <v>0.2</v>
      </c>
      <c r="AC18" s="32">
        <v>0.25</v>
      </c>
      <c r="AD18" s="69"/>
      <c r="AE18" s="73">
        <v>0.08</v>
      </c>
      <c r="AF18" s="126">
        <f>(I18-S18)*H18</f>
        <v>846.26865671641792</v>
      </c>
      <c r="AG18" s="30"/>
      <c r="AH18" s="31">
        <f t="shared" si="0"/>
        <v>1374.052812858783</v>
      </c>
      <c r="AI18" s="122">
        <f t="shared" si="2"/>
        <v>2220.3214695752008</v>
      </c>
      <c r="AJ18" s="142"/>
    </row>
    <row r="19" spans="2:36" s="11" customFormat="1" ht="72">
      <c r="B19" s="105">
        <v>5</v>
      </c>
      <c r="C19" s="154" t="s">
        <v>62</v>
      </c>
      <c r="D19" s="154" t="s">
        <v>63</v>
      </c>
      <c r="E19" s="154" t="s">
        <v>59</v>
      </c>
      <c r="F19" s="161" t="s">
        <v>64</v>
      </c>
      <c r="G19" s="154" t="s">
        <v>47</v>
      </c>
      <c r="H19" s="154">
        <v>500</v>
      </c>
      <c r="I19" s="117">
        <f>S19*(1+AC19)+AB19</f>
        <v>7.5670110983543823</v>
      </c>
      <c r="J19" s="154">
        <v>0.216</v>
      </c>
      <c r="K19" s="161" t="s">
        <v>65</v>
      </c>
      <c r="L19" s="154" t="s">
        <v>49</v>
      </c>
      <c r="M19" s="120">
        <f t="shared" si="1"/>
        <v>18549.71297359357</v>
      </c>
      <c r="N19" s="71"/>
      <c r="O19" s="71"/>
      <c r="P19" s="71"/>
      <c r="Q19" s="107">
        <v>154000</v>
      </c>
      <c r="R19" s="108">
        <f t="shared" si="3"/>
        <v>154000</v>
      </c>
      <c r="S19" s="81">
        <f>R19/$T$22</f>
        <v>5.8936088786835059</v>
      </c>
      <c r="T19" s="77"/>
      <c r="U19" s="107">
        <v>448800000</v>
      </c>
      <c r="V19" s="74">
        <f t="shared" si="4"/>
        <v>448800000</v>
      </c>
      <c r="W19" s="86">
        <f>U19/$T$22</f>
        <v>17175.660160734787</v>
      </c>
      <c r="X19" s="31"/>
      <c r="Y19" s="31"/>
      <c r="Z19" s="31"/>
      <c r="AA19" s="31"/>
      <c r="AB19" s="31">
        <f>$Z$21/$W$11/H19</f>
        <v>0.2</v>
      </c>
      <c r="AC19" s="160">
        <v>0.25</v>
      </c>
      <c r="AD19" s="116"/>
      <c r="AE19" s="115">
        <v>0.08</v>
      </c>
      <c r="AF19" s="127">
        <f>(I19-S19)*H19</f>
        <v>836.70110983543827</v>
      </c>
      <c r="AG19" s="30"/>
      <c r="AH19" s="31">
        <f t="shared" si="0"/>
        <v>1374.052812858783</v>
      </c>
      <c r="AI19" s="122">
        <f t="shared" si="2"/>
        <v>2210.7539226942213</v>
      </c>
      <c r="AJ19" s="140"/>
    </row>
    <row r="20" spans="2:36" s="12" customFormat="1" ht="29.25" customHeight="1">
      <c r="B20" s="110" t="s">
        <v>66</v>
      </c>
      <c r="C20" s="138" t="s">
        <v>67</v>
      </c>
      <c r="D20" s="138"/>
      <c r="E20" s="138"/>
      <c r="F20" s="138"/>
      <c r="G20" s="138"/>
      <c r="H20" s="138"/>
      <c r="I20" s="138"/>
      <c r="J20" s="138"/>
      <c r="K20" s="138"/>
      <c r="L20" s="138"/>
      <c r="M20" s="138"/>
      <c r="N20" s="70"/>
      <c r="O20" s="70"/>
      <c r="P20" s="33" t="s">
        <v>68</v>
      </c>
      <c r="Q20" s="34">
        <f>SUMPRODUCT(S15:S19,H15:H19)</f>
        <v>18339.073861461922</v>
      </c>
      <c r="R20" s="34">
        <f>Q20*T22</f>
        <v>479200000</v>
      </c>
      <c r="S20" s="34"/>
      <c r="T20" s="34"/>
      <c r="U20" s="34"/>
      <c r="V20" s="35"/>
      <c r="W20" s="35"/>
      <c r="X20" s="35"/>
      <c r="Y20" s="35"/>
      <c r="Z20" s="36"/>
      <c r="AA20" s="36" t="s">
        <v>69</v>
      </c>
      <c r="AB20" s="36"/>
      <c r="AC20" s="36"/>
      <c r="AD20" s="37"/>
      <c r="AE20" s="119" t="s">
        <v>69</v>
      </c>
      <c r="AF20" s="112"/>
      <c r="AH20" s="118" t="s">
        <v>70</v>
      </c>
    </row>
    <row r="21" spans="2:36" s="12" customFormat="1" ht="43.5" customHeight="1">
      <c r="B21" s="13" t="s">
        <v>71</v>
      </c>
      <c r="C21"/>
      <c r="D21" s="92"/>
      <c r="E21" s="92"/>
      <c r="F21" s="93"/>
      <c r="G21" s="93">
        <f>90+15</f>
        <v>105</v>
      </c>
      <c r="H21" s="94" t="s">
        <v>72</v>
      </c>
      <c r="I21" s="94"/>
      <c r="J21" s="94"/>
      <c r="K21" s="94"/>
      <c r="L21" s="95"/>
      <c r="Y21" s="12" t="s">
        <v>73</v>
      </c>
      <c r="Z21" s="114">
        <v>500</v>
      </c>
      <c r="AA21" s="123">
        <f>SUMPRODUCT(AB15:AB19,H15:H19)</f>
        <v>500</v>
      </c>
      <c r="AB21" s="118"/>
      <c r="AC21" s="118"/>
      <c r="AD21" s="119" t="s">
        <v>74</v>
      </c>
      <c r="AE21" s="125">
        <f>SUMPRODUCT(AF15:AF19)-AA21</f>
        <v>4584.7684653654796</v>
      </c>
      <c r="AF21" s="125">
        <f>SUMPRODUCT(H15:H19,I15:I19)-SUMPRODUCT(S15:S19,H15:H19)-Z21</f>
        <v>4584.7684653654796</v>
      </c>
      <c r="AH21" s="114">
        <f>AE21+SUM(AH15:AH19)</f>
        <v>11135.399923459627</v>
      </c>
    </row>
    <row r="22" spans="2:36" ht="26.1" customHeight="1">
      <c r="D22" s="95"/>
      <c r="E22" s="95"/>
      <c r="F22" s="96"/>
      <c r="G22" s="97"/>
      <c r="H22" s="95"/>
      <c r="I22" s="95"/>
      <c r="J22" s="95"/>
      <c r="K22" s="95"/>
      <c r="L22" s="95"/>
      <c r="O22" s="38">
        <v>1</v>
      </c>
      <c r="P22" s="39" t="s">
        <v>75</v>
      </c>
      <c r="Q22" s="39"/>
      <c r="R22" s="39"/>
      <c r="S22" s="40" t="s">
        <v>76</v>
      </c>
      <c r="T22" s="82">
        <v>26130</v>
      </c>
      <c r="U22" s="42" t="s">
        <v>77</v>
      </c>
      <c r="V22" s="40"/>
      <c r="W22" s="40"/>
      <c r="X22" s="40"/>
      <c r="Y22" s="42"/>
      <c r="Z22" s="43"/>
      <c r="AA22" s="44"/>
      <c r="AB22" s="43"/>
      <c r="AC22" s="40"/>
      <c r="AD22" s="40"/>
      <c r="AE22" s="40"/>
      <c r="AF22" s="124"/>
    </row>
    <row r="23" spans="2:36" ht="15.75">
      <c r="B23" s="13" t="s">
        <v>78</v>
      </c>
      <c r="D23" s="92"/>
      <c r="E23" s="92"/>
      <c r="F23" s="93"/>
      <c r="G23" s="93">
        <f>50+15</f>
        <v>65</v>
      </c>
      <c r="H23" s="92" t="s">
        <v>72</v>
      </c>
      <c r="I23" s="94"/>
      <c r="J23" s="94"/>
      <c r="K23" s="94"/>
      <c r="L23" s="95"/>
      <c r="O23" s="45">
        <v>2</v>
      </c>
      <c r="P23" s="39" t="s">
        <v>79</v>
      </c>
      <c r="Q23" s="39"/>
      <c r="R23" s="39"/>
      <c r="S23" s="39" t="s">
        <v>80</v>
      </c>
      <c r="T23" s="41"/>
      <c r="U23" s="41"/>
      <c r="V23" s="41"/>
      <c r="W23" s="41"/>
      <c r="X23" s="39" t="s">
        <v>81</v>
      </c>
      <c r="Y23" s="41"/>
      <c r="Z23" s="46"/>
      <c r="AA23" s="46"/>
      <c r="AB23" s="46"/>
      <c r="AC23" s="47" t="s">
        <v>82</v>
      </c>
      <c r="AD23" s="41"/>
      <c r="AE23" s="48"/>
      <c r="AF23" s="49"/>
    </row>
    <row r="24" spans="2:36" ht="15">
      <c r="B24" s="2"/>
      <c r="C24" s="2"/>
      <c r="D24" s="95"/>
      <c r="E24" s="95"/>
      <c r="F24" s="96"/>
      <c r="G24" s="98"/>
      <c r="H24" s="95"/>
      <c r="I24" s="95"/>
      <c r="J24" s="95"/>
      <c r="K24" s="95"/>
      <c r="L24" s="95"/>
      <c r="O24" s="38">
        <v>3</v>
      </c>
      <c r="P24" s="39" t="s">
        <v>83</v>
      </c>
      <c r="Q24" s="39"/>
      <c r="R24" s="39"/>
      <c r="S24" s="50"/>
      <c r="T24" s="50"/>
      <c r="U24" s="50"/>
      <c r="V24" s="50"/>
      <c r="W24" s="50"/>
      <c r="X24" s="50"/>
      <c r="Y24" s="50"/>
      <c r="Z24" s="50"/>
      <c r="AA24" s="51"/>
      <c r="AB24" s="46"/>
      <c r="AC24" s="41"/>
      <c r="AD24" s="41"/>
      <c r="AE24" s="40"/>
    </row>
    <row r="25" spans="2:36" ht="15">
      <c r="B25" s="2"/>
      <c r="C25" s="2"/>
      <c r="D25" s="95"/>
      <c r="E25" s="95"/>
      <c r="F25" s="96"/>
      <c r="G25" s="98"/>
      <c r="H25" s="95"/>
      <c r="I25" s="95"/>
      <c r="J25" s="95"/>
      <c r="K25" s="95"/>
      <c r="L25" s="95"/>
      <c r="O25" s="45">
        <v>4</v>
      </c>
      <c r="P25" s="39" t="s">
        <v>84</v>
      </c>
      <c r="Q25" s="39"/>
      <c r="R25" s="39"/>
      <c r="S25" s="50"/>
      <c r="T25" s="52" t="s">
        <v>85</v>
      </c>
      <c r="U25" s="50"/>
      <c r="V25" s="53" t="s">
        <v>86</v>
      </c>
      <c r="W25"/>
      <c r="X25"/>
      <c r="Y25"/>
      <c r="Z25" s="54" t="s">
        <v>87</v>
      </c>
      <c r="AA25" s="50"/>
      <c r="AB25" s="29" t="s">
        <v>77</v>
      </c>
      <c r="AC25" s="55" t="s">
        <v>88</v>
      </c>
      <c r="AD25" s="56"/>
      <c r="AE25" s="40" t="s">
        <v>89</v>
      </c>
    </row>
    <row r="26" spans="2:36" ht="15.75">
      <c r="B26" s="13" t="s">
        <v>90</v>
      </c>
      <c r="D26" s="99"/>
      <c r="E26" s="99"/>
      <c r="F26" s="100"/>
      <c r="G26" s="101">
        <v>10</v>
      </c>
      <c r="H26" s="99" t="s">
        <v>72</v>
      </c>
      <c r="I26" s="94"/>
      <c r="J26" s="94"/>
      <c r="K26" s="94"/>
      <c r="L26" s="95"/>
      <c r="O26" s="45">
        <v>5</v>
      </c>
      <c r="P26" s="39" t="s">
        <v>91</v>
      </c>
      <c r="Q26" s="39"/>
      <c r="R26" s="39"/>
      <c r="S26" s="50"/>
      <c r="T26" s="42"/>
      <c r="U26" s="42"/>
      <c r="V26" s="42"/>
      <c r="W26" s="42"/>
      <c r="X26" s="42"/>
      <c r="Y26" s="29"/>
      <c r="Z26" s="29"/>
      <c r="AA26" s="57"/>
      <c r="AB26" s="43"/>
      <c r="AC26" s="40"/>
      <c r="AD26" s="40"/>
      <c r="AE26" s="40"/>
    </row>
    <row r="27" spans="2:36" ht="15">
      <c r="B27" s="2"/>
      <c r="D27" s="95"/>
      <c r="E27" s="95"/>
      <c r="F27" s="95"/>
      <c r="G27" s="95"/>
      <c r="H27" s="95"/>
      <c r="I27" s="95"/>
      <c r="J27" s="95"/>
      <c r="K27" s="95"/>
      <c r="L27" s="95"/>
      <c r="O27" s="58">
        <v>6</v>
      </c>
      <c r="P27" s="59" t="s">
        <v>92</v>
      </c>
      <c r="Q27" s="59"/>
      <c r="R27" s="59"/>
      <c r="T27" s="60" t="s">
        <v>93</v>
      </c>
      <c r="U27" s="61"/>
      <c r="V27" s="62"/>
      <c r="W27" s="63"/>
      <c r="X27" s="63"/>
      <c r="Y27" s="54" t="s">
        <v>94</v>
      </c>
      <c r="Z27" s="64"/>
      <c r="AA27" s="43" t="s">
        <v>77</v>
      </c>
      <c r="AB27"/>
      <c r="AC27" s="65" t="s">
        <v>88</v>
      </c>
      <c r="AE27" s="56"/>
      <c r="AF27" s="40" t="s">
        <v>89</v>
      </c>
    </row>
    <row r="28" spans="2:36" ht="15">
      <c r="D28" s="95"/>
      <c r="E28" s="95"/>
      <c r="F28" s="95"/>
      <c r="G28" s="95"/>
      <c r="H28" s="95"/>
      <c r="I28" s="95"/>
      <c r="J28" s="95"/>
      <c r="K28" s="95"/>
      <c r="L28" s="95"/>
      <c r="O28" s="58">
        <v>7</v>
      </c>
      <c r="P28" s="59" t="s">
        <v>95</v>
      </c>
      <c r="Q28" s="59"/>
      <c r="R28" s="59"/>
      <c r="S28" s="50"/>
      <c r="T28" s="50"/>
      <c r="U28" s="50"/>
      <c r="V28" s="50"/>
      <c r="W28" s="50"/>
      <c r="X28" s="50"/>
      <c r="Y28" s="50"/>
      <c r="Z28" s="50"/>
      <c r="AA28" s="46"/>
      <c r="AB28" s="46"/>
      <c r="AC28" s="41"/>
      <c r="AD28" s="41"/>
      <c r="AE28" s="40"/>
    </row>
    <row r="29" spans="2:36" ht="15.75">
      <c r="B29" s="87" t="s">
        <v>96</v>
      </c>
      <c r="D29" s="99"/>
      <c r="E29" s="92"/>
      <c r="F29" s="101" t="s">
        <v>97</v>
      </c>
      <c r="G29" s="102">
        <f>T22</f>
        <v>26130</v>
      </c>
      <c r="H29" s="99"/>
      <c r="I29" s="94"/>
      <c r="J29" s="94"/>
      <c r="K29" s="94"/>
      <c r="L29" s="95"/>
      <c r="N29" s="66"/>
      <c r="O29" s="29"/>
      <c r="P29" s="29"/>
      <c r="Q29" s="29"/>
      <c r="R29" s="29"/>
      <c r="S29" s="29"/>
      <c r="T29" s="29"/>
      <c r="U29" s="29"/>
      <c r="V29" s="29"/>
      <c r="W29" s="29"/>
      <c r="X29" s="29"/>
      <c r="Y29" s="29"/>
      <c r="Z29" s="43"/>
      <c r="AA29" s="43"/>
      <c r="AB29" s="40"/>
      <c r="AC29" s="40"/>
      <c r="AD29" s="40"/>
      <c r="AF29"/>
    </row>
    <row r="30" spans="2:36" ht="24.75" hidden="1" customHeight="1">
      <c r="D30" s="99"/>
      <c r="E30" s="92"/>
      <c r="F30" s="103" t="s">
        <v>98</v>
      </c>
      <c r="G30" s="99"/>
      <c r="H30" s="99"/>
      <c r="I30" s="104"/>
      <c r="J30" s="95"/>
      <c r="K30" s="95"/>
      <c r="L30" s="95"/>
      <c r="N30" s="66"/>
      <c r="O30" s="29"/>
      <c r="P30" s="29"/>
      <c r="Q30" s="29"/>
      <c r="R30" s="29"/>
      <c r="S30" s="54"/>
      <c r="T30" s="29"/>
      <c r="U30" s="29"/>
      <c r="V30" s="29"/>
      <c r="W30" s="29"/>
      <c r="X30" s="29"/>
      <c r="Y30" s="29"/>
      <c r="Z30" s="43"/>
      <c r="AA30" s="43"/>
      <c r="AB30" s="40"/>
      <c r="AC30" s="40"/>
      <c r="AD30" s="40"/>
      <c r="AF30"/>
    </row>
    <row r="31" spans="2:36" ht="21.75" customHeight="1">
      <c r="D31" s="133" t="s">
        <v>99</v>
      </c>
      <c r="E31" s="133"/>
      <c r="F31" s="133"/>
      <c r="G31" s="133"/>
      <c r="H31" s="133"/>
      <c r="I31" s="133"/>
      <c r="J31" s="133"/>
      <c r="K31" s="133"/>
      <c r="L31" s="97"/>
      <c r="O31" s="66"/>
      <c r="P31" s="29"/>
      <c r="Q31" s="29"/>
      <c r="R31" s="29"/>
      <c r="S31" s="29"/>
      <c r="T31" s="29"/>
      <c r="U31" s="29"/>
      <c r="V31" s="29"/>
      <c r="W31" s="29"/>
      <c r="X31" s="29"/>
      <c r="Y31" s="29"/>
      <c r="Z31" s="29"/>
    </row>
    <row r="32" spans="2:36" ht="46.5" customHeight="1">
      <c r="D32" s="132" t="s">
        <v>100</v>
      </c>
      <c r="E32" s="132"/>
      <c r="F32" s="132"/>
      <c r="G32" s="132"/>
      <c r="H32" s="132"/>
      <c r="I32" s="132"/>
      <c r="J32" s="132"/>
      <c r="K32" s="132"/>
      <c r="L32" s="111"/>
      <c r="N32" s="29"/>
      <c r="O32" s="29"/>
      <c r="P32" s="29"/>
      <c r="Q32" s="29"/>
      <c r="R32" s="29"/>
      <c r="S32" s="29"/>
      <c r="T32" s="29"/>
      <c r="U32" s="29"/>
      <c r="V32" s="29"/>
      <c r="W32" s="29"/>
      <c r="X32" s="29"/>
      <c r="Y32" s="15"/>
      <c r="AA32" s="14"/>
      <c r="AB32" s="14"/>
      <c r="AE32"/>
      <c r="AF32"/>
    </row>
    <row r="33" spans="1:32" ht="36.75" customHeight="1">
      <c r="D33" s="131" t="s">
        <v>101</v>
      </c>
      <c r="E33" s="131"/>
      <c r="F33" s="131"/>
      <c r="G33" s="131"/>
      <c r="H33" s="131"/>
      <c r="I33" s="131"/>
      <c r="J33" s="131"/>
      <c r="K33" s="131"/>
      <c r="L33" s="111"/>
      <c r="N33" s="40"/>
      <c r="O33" s="40"/>
      <c r="P33" s="40"/>
      <c r="Q33" s="40" t="s">
        <v>102</v>
      </c>
      <c r="R33" s="40"/>
      <c r="S33" s="40"/>
      <c r="T33" s="40" t="s">
        <v>103</v>
      </c>
      <c r="U33" s="40"/>
      <c r="V33" s="40"/>
      <c r="W33" s="40"/>
      <c r="X33" s="43"/>
      <c r="Y33" s="15"/>
      <c r="AA33" s="14"/>
      <c r="AB33" s="14"/>
      <c r="AE33"/>
      <c r="AF33"/>
    </row>
    <row r="34" spans="1:32">
      <c r="E34" s="78"/>
      <c r="F34" s="78"/>
      <c r="G34" s="78"/>
      <c r="H34" s="78"/>
      <c r="I34" s="67"/>
      <c r="N34" s="40"/>
      <c r="O34" s="40"/>
      <c r="P34" s="40"/>
      <c r="Q34" s="40">
        <f>(Q20*1.25) + 500</f>
        <v>23423.842326827402</v>
      </c>
      <c r="R34" s="40"/>
      <c r="S34" s="40"/>
      <c r="T34" s="40">
        <f>Q20+AE21</f>
        <v>22923.842326827402</v>
      </c>
      <c r="U34" s="40"/>
      <c r="V34" s="40"/>
      <c r="W34" s="40"/>
      <c r="X34" s="43"/>
      <c r="Y34" s="15"/>
      <c r="AA34" s="14"/>
      <c r="AB34" s="14"/>
      <c r="AE34"/>
      <c r="AF34"/>
    </row>
    <row r="35" spans="1:32">
      <c r="E35" s="78"/>
      <c r="F35" s="78"/>
      <c r="G35" s="78"/>
      <c r="H35" s="78"/>
      <c r="I35" s="67"/>
      <c r="N35" s="40"/>
      <c r="O35" s="40"/>
      <c r="P35" s="40"/>
      <c r="Q35" s="40"/>
      <c r="R35" s="40"/>
      <c r="S35" s="40"/>
      <c r="T35" s="40"/>
      <c r="U35" s="40"/>
      <c r="V35" s="40"/>
      <c r="W35" s="40"/>
      <c r="X35" s="43"/>
      <c r="Y35" s="15"/>
      <c r="AA35" s="14"/>
      <c r="AB35" s="14"/>
      <c r="AE35"/>
      <c r="AF35"/>
    </row>
    <row r="36" spans="1:32">
      <c r="E36" s="78"/>
      <c r="F36" s="78"/>
      <c r="G36" s="78"/>
      <c r="H36" s="78"/>
      <c r="I36" s="67"/>
      <c r="N36" s="40"/>
      <c r="O36" s="40"/>
      <c r="P36" s="40"/>
      <c r="Q36" s="40"/>
      <c r="R36" s="40"/>
      <c r="S36" s="40"/>
      <c r="T36" s="40"/>
      <c r="U36" s="40"/>
      <c r="V36" s="40"/>
      <c r="W36" s="40"/>
      <c r="X36" s="43"/>
      <c r="Y36" s="15"/>
      <c r="AA36" s="14"/>
      <c r="AB36" s="14"/>
      <c r="AE36"/>
      <c r="AF36"/>
    </row>
    <row r="37" spans="1:32" ht="18" customHeight="1"/>
    <row r="38" spans="1:32" ht="18" customHeight="1"/>
    <row r="39" spans="1:32" ht="33" customHeight="1">
      <c r="B39" s="13"/>
      <c r="C39" s="13"/>
      <c r="D39" s="13"/>
      <c r="E39" s="16" t="s">
        <v>104</v>
      </c>
      <c r="F39" s="13"/>
      <c r="G39" s="13"/>
      <c r="H39" s="13"/>
      <c r="I39" s="16" t="s">
        <v>105</v>
      </c>
      <c r="J39" s="90">
        <f>L8</f>
        <v>46185</v>
      </c>
    </row>
    <row r="40" spans="1:32" ht="33" customHeight="1">
      <c r="A40" s="2"/>
      <c r="B40" s="2"/>
      <c r="C40" s="2"/>
      <c r="D40" s="2"/>
      <c r="E40" s="26"/>
      <c r="F40" s="2"/>
      <c r="G40" s="2"/>
      <c r="H40" s="26"/>
      <c r="I40" s="26"/>
      <c r="J40" s="26"/>
    </row>
    <row r="41" spans="1:32" ht="18" customHeight="1">
      <c r="A41" s="2"/>
      <c r="F41" s="2"/>
    </row>
    <row r="42" spans="1:32" ht="15.75">
      <c r="A42" s="13"/>
      <c r="K42" s="26"/>
      <c r="L42" s="26"/>
      <c r="M42" s="13"/>
    </row>
    <row r="43" spans="1:32" s="13" customFormat="1" ht="21" customHeight="1">
      <c r="A43" s="2"/>
      <c r="B43"/>
      <c r="C43"/>
      <c r="D43"/>
      <c r="E43"/>
      <c r="F43"/>
      <c r="G43"/>
      <c r="H43"/>
      <c r="I43"/>
      <c r="J43"/>
      <c r="K43" s="26"/>
      <c r="L43" s="26"/>
      <c r="M43"/>
      <c r="P43" s="20"/>
      <c r="Q43" s="20"/>
      <c r="R43" s="20"/>
      <c r="S43" s="20"/>
      <c r="T43" s="20"/>
      <c r="U43" s="20"/>
      <c r="V43" s="20"/>
      <c r="W43" s="20"/>
      <c r="X43" s="20"/>
      <c r="Y43" s="20"/>
      <c r="Z43" s="68"/>
      <c r="AA43" s="68"/>
      <c r="AB43" s="68"/>
      <c r="AC43" s="20"/>
      <c r="AD43" s="20"/>
      <c r="AE43" s="20"/>
      <c r="AF43" s="20"/>
    </row>
    <row r="44" spans="1:32">
      <c r="A44" s="2"/>
    </row>
    <row r="46" spans="1:32">
      <c r="M46" s="1"/>
    </row>
    <row r="47" spans="1:32">
      <c r="M47" s="1"/>
      <c r="N47" s="1"/>
    </row>
    <row r="48" spans="1:32">
      <c r="N48" s="1"/>
    </row>
  </sheetData>
  <mergeCells count="24">
    <mergeCell ref="C20:M20"/>
    <mergeCell ref="F13:F14"/>
    <mergeCell ref="L13:L14"/>
    <mergeCell ref="AJ13:AJ14"/>
    <mergeCell ref="AJ15:AJ19"/>
    <mergeCell ref="AI13:AI14"/>
    <mergeCell ref="X13:AB13"/>
    <mergeCell ref="AC13:AE13"/>
    <mergeCell ref="AF13:AH13"/>
    <mergeCell ref="R13:W13"/>
    <mergeCell ref="D33:K33"/>
    <mergeCell ref="D32:K32"/>
    <mergeCell ref="D31:K31"/>
    <mergeCell ref="B13:B14"/>
    <mergeCell ref="E13:E14"/>
    <mergeCell ref="I13:I14"/>
    <mergeCell ref="D13:D14"/>
    <mergeCell ref="G13:G14"/>
    <mergeCell ref="H13:H14"/>
    <mergeCell ref="M13:M14"/>
    <mergeCell ref="J13:J14"/>
    <mergeCell ref="K13:K14"/>
    <mergeCell ref="C13:C14"/>
    <mergeCell ref="A6:L6"/>
  </mergeCells>
  <conditionalFormatting sqref="AA21:AC21">
    <cfRule type="cellIs" dxfId="4" priority="6" operator="equal">
      <formula>$Z$21</formula>
    </cfRule>
  </conditionalFormatting>
  <conditionalFormatting sqref="AE21">
    <cfRule type="cellIs" dxfId="3" priority="5" operator="equal">
      <formula>$AF$21</formula>
    </cfRule>
  </conditionalFormatting>
  <conditionalFormatting sqref="AE21">
    <cfRule type="cellIs" dxfId="2" priority="4" operator="notEqual">
      <formula>$AF$21</formula>
    </cfRule>
  </conditionalFormatting>
  <conditionalFormatting sqref="AA21">
    <cfRule type="cellIs" dxfId="1" priority="3" operator="notEqual">
      <formula>$Z$21</formula>
    </cfRule>
  </conditionalFormatting>
  <conditionalFormatting sqref="AH21">
    <cfRule type="cellIs" dxfId="0" priority="1" operator="equal">
      <formula>$AJ$15</formula>
    </cfRule>
  </conditionalFormatting>
  <printOptions horizontalCentered="1"/>
  <pageMargins left="0.19652777777777777" right="0.19652777777777777" top="0.62986111111111109" bottom="0.39305555555555555" header="0.66874999999999996" footer="0.5"/>
  <pageSetup scale="4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F9CD-B4D9-4D32-9E39-74D117A9770D}">
  <dimension ref="A1:L36"/>
  <sheetViews>
    <sheetView workbookViewId="0">
      <selection activeCell="J1" sqref="J1"/>
    </sheetView>
  </sheetViews>
  <sheetFormatPr defaultColWidth="8.85546875" defaultRowHeight="12.95"/>
  <cols>
    <col min="9" max="9" width="14.42578125" customWidth="1"/>
    <col min="10" max="10" width="26.140625" customWidth="1"/>
  </cols>
  <sheetData>
    <row r="1" spans="1:12" ht="42">
      <c r="A1" s="75" t="s">
        <v>11</v>
      </c>
      <c r="B1" s="75" t="s">
        <v>12</v>
      </c>
      <c r="C1" s="75" t="s">
        <v>106</v>
      </c>
      <c r="D1" s="75" t="s">
        <v>15</v>
      </c>
      <c r="E1" s="75" t="s">
        <v>107</v>
      </c>
      <c r="F1" s="75" t="s">
        <v>108</v>
      </c>
      <c r="G1" s="75" t="s">
        <v>109</v>
      </c>
      <c r="H1" s="75" t="s">
        <v>110</v>
      </c>
      <c r="I1" s="75" t="s">
        <v>29</v>
      </c>
      <c r="J1" s="75" t="s">
        <v>33</v>
      </c>
    </row>
    <row r="2" spans="1:12" ht="42">
      <c r="A2" s="79">
        <v>1</v>
      </c>
      <c r="B2" s="79">
        <v>7727</v>
      </c>
      <c r="C2" s="79" t="s">
        <v>111</v>
      </c>
      <c r="D2" s="79" t="s">
        <v>112</v>
      </c>
      <c r="E2" s="79" t="s">
        <v>113</v>
      </c>
      <c r="F2" s="79">
        <v>474</v>
      </c>
      <c r="G2" s="79" t="s">
        <v>44</v>
      </c>
      <c r="H2" s="79">
        <v>860</v>
      </c>
      <c r="I2" s="80">
        <v>362138</v>
      </c>
      <c r="J2" s="80">
        <v>34278400</v>
      </c>
      <c r="L2">
        <f>H2/1000</f>
        <v>0.86</v>
      </c>
    </row>
    <row r="3" spans="1:12" ht="42">
      <c r="A3" s="79">
        <v>2</v>
      </c>
      <c r="B3" s="79">
        <v>7868</v>
      </c>
      <c r="C3" s="79" t="s">
        <v>114</v>
      </c>
      <c r="D3" s="79" t="s">
        <v>115</v>
      </c>
      <c r="E3" s="79" t="s">
        <v>113</v>
      </c>
      <c r="F3" s="79">
        <v>522</v>
      </c>
      <c r="G3" s="79" t="s">
        <v>44</v>
      </c>
      <c r="H3" s="79">
        <v>1270</v>
      </c>
      <c r="I3" s="80">
        <v>545976</v>
      </c>
      <c r="J3" s="80">
        <v>36915000</v>
      </c>
      <c r="L3">
        <f t="shared" ref="L3:L36" si="0">H3/1000</f>
        <v>1.27</v>
      </c>
    </row>
    <row r="4" spans="1:12" ht="56.1">
      <c r="A4" s="79">
        <v>3</v>
      </c>
      <c r="B4" s="79">
        <v>9073</v>
      </c>
      <c r="C4" s="79" t="s">
        <v>116</v>
      </c>
      <c r="D4" s="79" t="s">
        <v>117</v>
      </c>
      <c r="E4" s="79" t="s">
        <v>113</v>
      </c>
      <c r="F4" s="79">
        <v>147</v>
      </c>
      <c r="G4" s="79" t="s">
        <v>44</v>
      </c>
      <c r="H4" s="79">
        <v>450</v>
      </c>
      <c r="I4" s="80">
        <v>222322</v>
      </c>
      <c r="J4" s="80">
        <v>34278400</v>
      </c>
      <c r="L4">
        <f t="shared" si="0"/>
        <v>0.45</v>
      </c>
    </row>
    <row r="5" spans="1:12" ht="56.1">
      <c r="A5" s="79">
        <v>4</v>
      </c>
      <c r="B5" s="79">
        <v>9377</v>
      </c>
      <c r="C5" s="79" t="s">
        <v>118</v>
      </c>
      <c r="D5" s="79" t="s">
        <v>117</v>
      </c>
      <c r="E5" s="79" t="s">
        <v>113</v>
      </c>
      <c r="F5" s="79">
        <v>1567</v>
      </c>
      <c r="G5" s="79" t="s">
        <v>44</v>
      </c>
      <c r="H5" s="79">
        <v>210</v>
      </c>
      <c r="I5" s="80">
        <v>99117</v>
      </c>
      <c r="J5" s="80">
        <v>34278400</v>
      </c>
      <c r="L5">
        <f t="shared" si="0"/>
        <v>0.21</v>
      </c>
    </row>
    <row r="6" spans="1:12" ht="69.95">
      <c r="A6" s="79">
        <v>5</v>
      </c>
      <c r="B6" s="79">
        <v>9383</v>
      </c>
      <c r="C6" s="79" t="s">
        <v>119</v>
      </c>
      <c r="D6" s="79" t="s">
        <v>120</v>
      </c>
      <c r="E6" s="79" t="s">
        <v>113</v>
      </c>
      <c r="F6" s="79">
        <v>302</v>
      </c>
      <c r="G6" s="79" t="s">
        <v>44</v>
      </c>
      <c r="H6" s="79">
        <v>300</v>
      </c>
      <c r="I6" s="80">
        <v>141200</v>
      </c>
      <c r="J6" s="80">
        <v>34278400</v>
      </c>
      <c r="L6">
        <f t="shared" si="0"/>
        <v>0.3</v>
      </c>
    </row>
    <row r="7" spans="1:12" ht="69.95">
      <c r="A7" s="79">
        <v>6</v>
      </c>
      <c r="B7" s="79">
        <v>9389</v>
      </c>
      <c r="C7" s="79" t="s">
        <v>121</v>
      </c>
      <c r="D7" s="79" t="s">
        <v>122</v>
      </c>
      <c r="E7" s="79" t="s">
        <v>113</v>
      </c>
      <c r="F7" s="79">
        <v>540</v>
      </c>
      <c r="G7" s="79" t="s">
        <v>44</v>
      </c>
      <c r="H7" s="79">
        <v>480</v>
      </c>
      <c r="I7" s="80">
        <v>215400</v>
      </c>
      <c r="J7" s="80">
        <v>34278400</v>
      </c>
      <c r="L7">
        <f t="shared" si="0"/>
        <v>0.48</v>
      </c>
    </row>
    <row r="8" spans="1:12" ht="69.95">
      <c r="A8" s="79">
        <v>7</v>
      </c>
      <c r="B8" s="79">
        <v>9391</v>
      </c>
      <c r="C8" s="79" t="s">
        <v>123</v>
      </c>
      <c r="D8" s="79" t="s">
        <v>124</v>
      </c>
      <c r="E8" s="79" t="s">
        <v>113</v>
      </c>
      <c r="F8" s="79">
        <v>309</v>
      </c>
      <c r="G8" s="79" t="s">
        <v>44</v>
      </c>
      <c r="H8" s="79">
        <v>1150</v>
      </c>
      <c r="I8" s="80">
        <v>477037</v>
      </c>
      <c r="J8" s="80">
        <v>34278400</v>
      </c>
      <c r="L8">
        <f t="shared" si="0"/>
        <v>1.1499999999999999</v>
      </c>
    </row>
    <row r="9" spans="1:12" ht="69.95">
      <c r="A9" s="79">
        <v>8</v>
      </c>
      <c r="B9" s="79">
        <v>9395</v>
      </c>
      <c r="C9" s="79" t="s">
        <v>125</v>
      </c>
      <c r="D9" s="79" t="s">
        <v>126</v>
      </c>
      <c r="E9" s="79" t="s">
        <v>113</v>
      </c>
      <c r="F9" s="79">
        <v>292</v>
      </c>
      <c r="G9" s="79" t="s">
        <v>44</v>
      </c>
      <c r="H9" s="79">
        <v>1500</v>
      </c>
      <c r="I9" s="80">
        <v>625436</v>
      </c>
      <c r="J9" s="80">
        <v>39552000</v>
      </c>
      <c r="L9">
        <f t="shared" si="0"/>
        <v>1.5</v>
      </c>
    </row>
    <row r="10" spans="1:12" ht="42">
      <c r="A10" s="79">
        <v>9</v>
      </c>
      <c r="B10" s="79">
        <v>10678</v>
      </c>
      <c r="C10" s="79" t="s">
        <v>127</v>
      </c>
      <c r="D10" s="79" t="s">
        <v>128</v>
      </c>
      <c r="E10" s="79" t="s">
        <v>113</v>
      </c>
      <c r="F10" s="79">
        <v>627</v>
      </c>
      <c r="G10" s="79" t="s">
        <v>44</v>
      </c>
      <c r="H10" s="79">
        <v>1690</v>
      </c>
      <c r="I10" s="80">
        <v>702681</v>
      </c>
      <c r="J10" s="80">
        <v>39552000</v>
      </c>
      <c r="L10">
        <f t="shared" si="0"/>
        <v>1.69</v>
      </c>
    </row>
    <row r="11" spans="1:12" ht="42">
      <c r="A11" s="79">
        <v>10</v>
      </c>
      <c r="B11" s="79">
        <v>10842</v>
      </c>
      <c r="C11" s="79" t="s">
        <v>129</v>
      </c>
      <c r="D11" s="79" t="s">
        <v>130</v>
      </c>
      <c r="E11" s="79" t="s">
        <v>113</v>
      </c>
      <c r="F11" s="79">
        <v>48</v>
      </c>
      <c r="G11" s="79" t="s">
        <v>44</v>
      </c>
      <c r="H11" s="79">
        <v>590</v>
      </c>
      <c r="I11" s="80">
        <v>280463</v>
      </c>
      <c r="J11" s="80">
        <v>34278400</v>
      </c>
      <c r="L11">
        <f t="shared" si="0"/>
        <v>0.59</v>
      </c>
    </row>
    <row r="12" spans="1:12" ht="42">
      <c r="A12" s="79">
        <v>11</v>
      </c>
      <c r="B12" s="79">
        <v>12734</v>
      </c>
      <c r="C12" s="79" t="s">
        <v>131</v>
      </c>
      <c r="D12" s="79" t="s">
        <v>132</v>
      </c>
      <c r="E12" s="79" t="s">
        <v>113</v>
      </c>
      <c r="F12" s="79">
        <v>1634</v>
      </c>
      <c r="G12" s="79" t="s">
        <v>44</v>
      </c>
      <c r="H12" s="79">
        <v>620</v>
      </c>
      <c r="I12" s="80">
        <v>276033</v>
      </c>
      <c r="J12" s="80">
        <v>34278400</v>
      </c>
      <c r="L12">
        <f t="shared" si="0"/>
        <v>0.62</v>
      </c>
    </row>
    <row r="13" spans="1:12" ht="56.1">
      <c r="A13" s="79">
        <v>12</v>
      </c>
      <c r="B13" s="79" t="s">
        <v>133</v>
      </c>
      <c r="C13" s="79" t="s">
        <v>133</v>
      </c>
      <c r="D13" s="79" t="s">
        <v>134</v>
      </c>
      <c r="E13" s="79" t="s">
        <v>113</v>
      </c>
      <c r="F13" s="79">
        <v>201</v>
      </c>
      <c r="G13" s="79" t="s">
        <v>44</v>
      </c>
      <c r="H13" s="79">
        <v>540</v>
      </c>
      <c r="I13" s="80">
        <v>238103</v>
      </c>
      <c r="J13" s="80">
        <v>34278400</v>
      </c>
      <c r="L13">
        <f t="shared" si="0"/>
        <v>0.54</v>
      </c>
    </row>
    <row r="14" spans="1:12" ht="42">
      <c r="A14" s="79">
        <v>13</v>
      </c>
      <c r="B14" s="79">
        <v>12756</v>
      </c>
      <c r="C14" s="79" t="s">
        <v>135</v>
      </c>
      <c r="D14" s="79" t="s">
        <v>136</v>
      </c>
      <c r="E14" s="79" t="s">
        <v>113</v>
      </c>
      <c r="F14" s="79">
        <v>1537</v>
      </c>
      <c r="G14" s="79" t="s">
        <v>44</v>
      </c>
      <c r="H14" s="79">
        <v>300</v>
      </c>
      <c r="I14" s="80">
        <v>131510</v>
      </c>
      <c r="J14" s="80">
        <v>34278400</v>
      </c>
      <c r="L14">
        <f t="shared" si="0"/>
        <v>0.3</v>
      </c>
    </row>
    <row r="15" spans="1:12" ht="56.1">
      <c r="A15" s="79">
        <v>14</v>
      </c>
      <c r="B15" s="79" t="s">
        <v>137</v>
      </c>
      <c r="C15" s="79" t="s">
        <v>137</v>
      </c>
      <c r="D15" s="79" t="s">
        <v>138</v>
      </c>
      <c r="E15" s="79" t="s">
        <v>113</v>
      </c>
      <c r="F15" s="79">
        <v>1191</v>
      </c>
      <c r="G15" s="79" t="s">
        <v>44</v>
      </c>
      <c r="H15" s="79">
        <v>200</v>
      </c>
      <c r="I15" s="80">
        <v>97456</v>
      </c>
      <c r="J15" s="80">
        <v>34278400</v>
      </c>
      <c r="L15">
        <f t="shared" si="0"/>
        <v>0.2</v>
      </c>
    </row>
    <row r="16" spans="1:12" ht="69.95">
      <c r="A16" s="79">
        <v>15</v>
      </c>
      <c r="B16" s="79">
        <v>13826</v>
      </c>
      <c r="C16" s="79" t="s">
        <v>139</v>
      </c>
      <c r="D16" s="79" t="s">
        <v>140</v>
      </c>
      <c r="E16" s="79" t="s">
        <v>113</v>
      </c>
      <c r="F16" s="79">
        <v>56</v>
      </c>
      <c r="G16" s="79" t="s">
        <v>44</v>
      </c>
      <c r="H16" s="79">
        <v>4100</v>
      </c>
      <c r="I16" s="79" t="s">
        <v>141</v>
      </c>
      <c r="J16" s="80">
        <v>52736000</v>
      </c>
      <c r="L16">
        <f t="shared" si="0"/>
        <v>4.0999999999999996</v>
      </c>
    </row>
    <row r="17" spans="1:12" ht="42">
      <c r="A17" s="79">
        <v>16</v>
      </c>
      <c r="B17" s="79">
        <v>14906</v>
      </c>
      <c r="C17" s="79" t="s">
        <v>142</v>
      </c>
      <c r="D17" s="79" t="s">
        <v>143</v>
      </c>
      <c r="E17" s="79" t="s">
        <v>113</v>
      </c>
      <c r="F17" s="79">
        <v>1698</v>
      </c>
      <c r="G17" s="79" t="s">
        <v>44</v>
      </c>
      <c r="H17" s="79">
        <v>570</v>
      </c>
      <c r="I17" s="80">
        <v>245855</v>
      </c>
      <c r="J17" s="80">
        <v>34278400</v>
      </c>
      <c r="L17">
        <f t="shared" si="0"/>
        <v>0.56999999999999995</v>
      </c>
    </row>
    <row r="18" spans="1:12" ht="69.95">
      <c r="A18" s="79">
        <v>17</v>
      </c>
      <c r="B18" s="79">
        <v>14934</v>
      </c>
      <c r="C18" s="79" t="s">
        <v>144</v>
      </c>
      <c r="D18" s="79" t="s">
        <v>145</v>
      </c>
      <c r="E18" s="79" t="s">
        <v>113</v>
      </c>
      <c r="F18" s="79">
        <v>1016</v>
      </c>
      <c r="G18" s="79" t="s">
        <v>44</v>
      </c>
      <c r="H18" s="79">
        <v>260</v>
      </c>
      <c r="I18" s="79" t="s">
        <v>141</v>
      </c>
      <c r="J18" s="80">
        <v>26368000</v>
      </c>
      <c r="L18">
        <f t="shared" si="0"/>
        <v>0.26</v>
      </c>
    </row>
    <row r="19" spans="1:12" ht="69.95">
      <c r="A19" s="79">
        <v>18</v>
      </c>
      <c r="B19" s="79">
        <v>14952</v>
      </c>
      <c r="C19" s="79" t="s">
        <v>146</v>
      </c>
      <c r="D19" s="79" t="s">
        <v>147</v>
      </c>
      <c r="E19" s="79" t="s">
        <v>113</v>
      </c>
      <c r="F19" s="79">
        <v>170</v>
      </c>
      <c r="G19" s="79" t="s">
        <v>44</v>
      </c>
      <c r="H19" s="79">
        <v>500</v>
      </c>
      <c r="I19" s="79" t="s">
        <v>141</v>
      </c>
      <c r="J19" s="80">
        <v>34278400</v>
      </c>
      <c r="L19">
        <f t="shared" si="0"/>
        <v>0.5</v>
      </c>
    </row>
    <row r="20" spans="1:12" ht="69.95">
      <c r="A20" s="79">
        <v>19</v>
      </c>
      <c r="B20" s="79">
        <v>15094</v>
      </c>
      <c r="C20" s="79" t="s">
        <v>148</v>
      </c>
      <c r="D20" s="79" t="s">
        <v>149</v>
      </c>
      <c r="E20" s="79" t="s">
        <v>113</v>
      </c>
      <c r="F20" s="79">
        <v>285</v>
      </c>
      <c r="G20" s="79" t="s">
        <v>44</v>
      </c>
      <c r="H20" s="79">
        <v>200</v>
      </c>
      <c r="I20" s="79" t="s">
        <v>141</v>
      </c>
      <c r="J20" s="80">
        <v>26368000</v>
      </c>
      <c r="L20">
        <f t="shared" si="0"/>
        <v>0.2</v>
      </c>
    </row>
    <row r="21" spans="1:12" ht="56.1">
      <c r="A21" s="79">
        <v>20</v>
      </c>
      <c r="B21" s="79">
        <v>15260</v>
      </c>
      <c r="C21" s="79" t="s">
        <v>150</v>
      </c>
      <c r="D21" s="79" t="s">
        <v>151</v>
      </c>
      <c r="E21" s="79" t="s">
        <v>113</v>
      </c>
      <c r="F21" s="79">
        <v>302</v>
      </c>
      <c r="G21" s="79" t="s">
        <v>44</v>
      </c>
      <c r="H21" s="79">
        <v>230</v>
      </c>
      <c r="I21" s="79" t="s">
        <v>141</v>
      </c>
      <c r="J21" s="80">
        <v>34278400</v>
      </c>
      <c r="L21">
        <f t="shared" si="0"/>
        <v>0.23</v>
      </c>
    </row>
    <row r="22" spans="1:12" ht="42">
      <c r="A22" s="79">
        <v>21</v>
      </c>
      <c r="B22" s="79">
        <v>15472</v>
      </c>
      <c r="C22" s="79" t="s">
        <v>152</v>
      </c>
      <c r="D22" s="79" t="s">
        <v>153</v>
      </c>
      <c r="E22" s="79" t="s">
        <v>113</v>
      </c>
      <c r="F22" s="79">
        <v>981</v>
      </c>
      <c r="G22" s="79" t="s">
        <v>44</v>
      </c>
      <c r="H22" s="79">
        <v>310</v>
      </c>
      <c r="I22" s="80">
        <v>153106</v>
      </c>
      <c r="J22" s="80">
        <v>34278400</v>
      </c>
      <c r="L22">
        <f t="shared" si="0"/>
        <v>0.31</v>
      </c>
    </row>
    <row r="23" spans="1:12" ht="42">
      <c r="A23" s="79">
        <v>22</v>
      </c>
      <c r="B23" s="79">
        <v>15474</v>
      </c>
      <c r="C23" s="79" t="s">
        <v>154</v>
      </c>
      <c r="D23" s="79" t="s">
        <v>155</v>
      </c>
      <c r="E23" s="79" t="s">
        <v>113</v>
      </c>
      <c r="F23" s="79">
        <v>4418</v>
      </c>
      <c r="G23" s="79" t="s">
        <v>44</v>
      </c>
      <c r="H23" s="79">
        <v>310</v>
      </c>
      <c r="I23" s="80">
        <v>146184</v>
      </c>
      <c r="J23" s="80">
        <v>34278400</v>
      </c>
      <c r="L23">
        <f t="shared" si="0"/>
        <v>0.31</v>
      </c>
    </row>
    <row r="24" spans="1:12" ht="42">
      <c r="A24" s="79">
        <v>23</v>
      </c>
      <c r="B24" s="79">
        <v>15552</v>
      </c>
      <c r="C24" s="79" t="s">
        <v>156</v>
      </c>
      <c r="D24" s="79" t="s">
        <v>155</v>
      </c>
      <c r="E24" s="79" t="s">
        <v>113</v>
      </c>
      <c r="F24" s="79">
        <v>2503</v>
      </c>
      <c r="G24" s="79" t="s">
        <v>44</v>
      </c>
      <c r="H24" s="79">
        <v>150</v>
      </c>
      <c r="I24" s="80">
        <v>83889</v>
      </c>
      <c r="J24" s="80">
        <v>26368000</v>
      </c>
      <c r="L24">
        <f t="shared" si="0"/>
        <v>0.15</v>
      </c>
    </row>
    <row r="25" spans="1:12" ht="42">
      <c r="A25" s="79">
        <v>24</v>
      </c>
      <c r="B25" s="79">
        <v>15740</v>
      </c>
      <c r="C25" s="79" t="s">
        <v>157</v>
      </c>
      <c r="D25" s="79" t="s">
        <v>158</v>
      </c>
      <c r="E25" s="79" t="s">
        <v>113</v>
      </c>
      <c r="F25" s="79">
        <v>5</v>
      </c>
      <c r="G25" s="79" t="s">
        <v>44</v>
      </c>
      <c r="H25" s="79">
        <v>130</v>
      </c>
      <c r="I25" s="80">
        <v>83059</v>
      </c>
      <c r="J25" s="80">
        <v>26368000</v>
      </c>
      <c r="L25">
        <f t="shared" si="0"/>
        <v>0.13</v>
      </c>
    </row>
    <row r="26" spans="1:12" ht="42">
      <c r="A26" s="79">
        <v>25</v>
      </c>
      <c r="B26" s="79">
        <v>15806</v>
      </c>
      <c r="C26" s="79" t="s">
        <v>159</v>
      </c>
      <c r="D26" s="79" t="s">
        <v>160</v>
      </c>
      <c r="E26" s="79" t="s">
        <v>113</v>
      </c>
      <c r="F26" s="79">
        <v>1150</v>
      </c>
      <c r="G26" s="79" t="s">
        <v>44</v>
      </c>
      <c r="H26" s="79">
        <v>141</v>
      </c>
      <c r="I26" s="80">
        <v>80290</v>
      </c>
      <c r="J26" s="80">
        <v>26368000</v>
      </c>
      <c r="L26">
        <f t="shared" si="0"/>
        <v>0.14099999999999999</v>
      </c>
    </row>
    <row r="27" spans="1:12" ht="42">
      <c r="A27" s="79">
        <v>26</v>
      </c>
      <c r="B27" s="79">
        <v>16730</v>
      </c>
      <c r="C27" s="79" t="s">
        <v>161</v>
      </c>
      <c r="D27" s="79" t="s">
        <v>162</v>
      </c>
      <c r="E27" s="79" t="s">
        <v>113</v>
      </c>
      <c r="F27" s="79">
        <v>308</v>
      </c>
      <c r="G27" s="79" t="s">
        <v>44</v>
      </c>
      <c r="H27" s="79">
        <v>780</v>
      </c>
      <c r="I27" s="80">
        <v>357154</v>
      </c>
      <c r="J27" s="80">
        <v>34278400</v>
      </c>
      <c r="L27">
        <f t="shared" si="0"/>
        <v>0.78</v>
      </c>
    </row>
    <row r="28" spans="1:12" ht="42">
      <c r="A28" s="79">
        <v>27</v>
      </c>
      <c r="B28" s="79">
        <v>16822</v>
      </c>
      <c r="C28" s="79" t="s">
        <v>163</v>
      </c>
      <c r="D28" s="79" t="s">
        <v>164</v>
      </c>
      <c r="E28" s="79" t="s">
        <v>113</v>
      </c>
      <c r="F28" s="79">
        <v>1686</v>
      </c>
      <c r="G28" s="79" t="s">
        <v>44</v>
      </c>
      <c r="H28" s="79">
        <v>730</v>
      </c>
      <c r="I28" s="80">
        <v>322546</v>
      </c>
      <c r="J28" s="80">
        <v>34278400</v>
      </c>
      <c r="L28">
        <f t="shared" si="0"/>
        <v>0.73</v>
      </c>
    </row>
    <row r="29" spans="1:12" ht="42">
      <c r="A29" s="79">
        <v>28</v>
      </c>
      <c r="B29" s="79">
        <v>15209</v>
      </c>
      <c r="C29" s="79" t="s">
        <v>165</v>
      </c>
      <c r="D29" s="79" t="s">
        <v>166</v>
      </c>
      <c r="E29" s="79" t="s">
        <v>113</v>
      </c>
      <c r="F29" s="79">
        <v>100</v>
      </c>
      <c r="G29" s="79" t="s">
        <v>44</v>
      </c>
      <c r="H29" s="79">
        <v>140</v>
      </c>
      <c r="I29" s="80">
        <v>85274</v>
      </c>
      <c r="J29" s="80">
        <v>26368000</v>
      </c>
      <c r="L29">
        <f t="shared" si="0"/>
        <v>0.14000000000000001</v>
      </c>
    </row>
    <row r="30" spans="1:12" ht="42">
      <c r="A30" s="79">
        <v>29</v>
      </c>
      <c r="B30" s="79">
        <v>15754</v>
      </c>
      <c r="C30" s="79" t="s">
        <v>167</v>
      </c>
      <c r="D30" s="79" t="s">
        <v>168</v>
      </c>
      <c r="E30" s="79" t="s">
        <v>113</v>
      </c>
      <c r="F30" s="79">
        <v>22</v>
      </c>
      <c r="G30" s="79" t="s">
        <v>44</v>
      </c>
      <c r="H30" s="79">
        <v>196</v>
      </c>
      <c r="I30" s="80">
        <v>82505</v>
      </c>
      <c r="J30" s="80">
        <v>31641600</v>
      </c>
      <c r="L30">
        <f t="shared" si="0"/>
        <v>0.19600000000000001</v>
      </c>
    </row>
    <row r="31" spans="1:12" ht="42">
      <c r="A31" s="79">
        <v>30</v>
      </c>
      <c r="B31" s="79">
        <v>15694</v>
      </c>
      <c r="C31" s="79" t="s">
        <v>169</v>
      </c>
      <c r="D31" s="79" t="s">
        <v>170</v>
      </c>
      <c r="E31" s="79" t="s">
        <v>113</v>
      </c>
      <c r="F31" s="79">
        <v>206</v>
      </c>
      <c r="G31" s="79" t="s">
        <v>44</v>
      </c>
      <c r="H31" s="79">
        <v>132</v>
      </c>
      <c r="I31" s="80">
        <v>77798</v>
      </c>
      <c r="J31" s="80">
        <v>26368000</v>
      </c>
      <c r="L31">
        <f t="shared" si="0"/>
        <v>0.13200000000000001</v>
      </c>
    </row>
    <row r="32" spans="1:12" ht="42">
      <c r="A32" s="79">
        <v>31</v>
      </c>
      <c r="B32" s="79">
        <v>15211</v>
      </c>
      <c r="C32" s="79" t="s">
        <v>171</v>
      </c>
      <c r="D32" s="79" t="s">
        <v>172</v>
      </c>
      <c r="E32" s="79" t="s">
        <v>113</v>
      </c>
      <c r="F32" s="79">
        <v>692</v>
      </c>
      <c r="G32" s="79" t="s">
        <v>44</v>
      </c>
      <c r="H32" s="79">
        <v>188</v>
      </c>
      <c r="I32" s="80">
        <v>102993</v>
      </c>
      <c r="J32" s="80">
        <v>31641600</v>
      </c>
      <c r="L32">
        <f t="shared" si="0"/>
        <v>0.188</v>
      </c>
    </row>
    <row r="33" spans="1:12" ht="42">
      <c r="A33" s="79">
        <v>32</v>
      </c>
      <c r="B33" s="79">
        <v>15546</v>
      </c>
      <c r="C33" s="79" t="s">
        <v>173</v>
      </c>
      <c r="D33" s="79" t="s">
        <v>174</v>
      </c>
      <c r="E33" s="79" t="s">
        <v>113</v>
      </c>
      <c r="F33" s="79">
        <v>248</v>
      </c>
      <c r="G33" s="79" t="s">
        <v>44</v>
      </c>
      <c r="H33" s="79">
        <v>160</v>
      </c>
      <c r="I33" s="80">
        <v>85827</v>
      </c>
      <c r="J33" s="80">
        <v>26368000</v>
      </c>
      <c r="L33">
        <f t="shared" si="0"/>
        <v>0.16</v>
      </c>
    </row>
    <row r="34" spans="1:12" ht="42">
      <c r="A34" s="79">
        <v>33</v>
      </c>
      <c r="B34" s="79">
        <v>15022</v>
      </c>
      <c r="C34" s="79" t="s">
        <v>175</v>
      </c>
      <c r="D34" s="79" t="s">
        <v>176</v>
      </c>
      <c r="E34" s="79" t="s">
        <v>113</v>
      </c>
      <c r="F34" s="79">
        <v>5</v>
      </c>
      <c r="G34" s="79" t="s">
        <v>44</v>
      </c>
      <c r="H34" s="79">
        <v>487</v>
      </c>
      <c r="I34" s="80">
        <v>232565</v>
      </c>
      <c r="J34" s="80">
        <v>34278400</v>
      </c>
      <c r="L34">
        <f t="shared" si="0"/>
        <v>0.48699999999999999</v>
      </c>
    </row>
    <row r="35" spans="1:12" ht="42">
      <c r="A35" s="79">
        <v>34</v>
      </c>
      <c r="B35" s="79">
        <v>14748</v>
      </c>
      <c r="C35" s="79" t="s">
        <v>177</v>
      </c>
      <c r="D35" s="79" t="s">
        <v>178</v>
      </c>
      <c r="E35" s="79" t="s">
        <v>113</v>
      </c>
      <c r="F35" s="79">
        <v>198</v>
      </c>
      <c r="G35" s="79" t="s">
        <v>44</v>
      </c>
      <c r="H35" s="79">
        <v>600</v>
      </c>
      <c r="I35" s="80">
        <v>263851</v>
      </c>
      <c r="J35" s="80">
        <v>34278400</v>
      </c>
      <c r="L35">
        <f t="shared" si="0"/>
        <v>0.6</v>
      </c>
    </row>
    <row r="36" spans="1:12" ht="69.95">
      <c r="A36" s="79">
        <v>35</v>
      </c>
      <c r="B36" s="79">
        <v>13784</v>
      </c>
      <c r="C36" s="79" t="s">
        <v>179</v>
      </c>
      <c r="D36" s="79" t="s">
        <v>180</v>
      </c>
      <c r="E36" s="79" t="s">
        <v>113</v>
      </c>
      <c r="F36" s="79">
        <v>75</v>
      </c>
      <c r="G36" s="79" t="s">
        <v>44</v>
      </c>
      <c r="H36" s="79">
        <v>2840</v>
      </c>
      <c r="I36" s="79" t="s">
        <v>141</v>
      </c>
      <c r="J36" s="80">
        <v>42188800</v>
      </c>
      <c r="L36">
        <f t="shared" si="0"/>
        <v>2.84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F57EC-6F56-4938-AA10-1C648955613C}">
  <dimension ref="A1:IN16"/>
  <sheetViews>
    <sheetView view="pageBreakPreview" zoomScaleNormal="100" workbookViewId="0">
      <selection activeCell="D7" sqref="D7"/>
    </sheetView>
  </sheetViews>
  <sheetFormatPr defaultColWidth="11.42578125" defaultRowHeight="12.95"/>
  <cols>
    <col min="1" max="1" width="8.42578125" style="1" customWidth="1"/>
    <col min="2" max="2" width="27.85546875" style="1" customWidth="1"/>
    <col min="3" max="3" width="16.7109375" style="1" customWidth="1"/>
    <col min="4" max="4" width="14.140625" style="1" customWidth="1"/>
    <col min="5" max="16384" width="11.42578125" style="1"/>
  </cols>
  <sheetData>
    <row r="1" spans="1:248" customFormat="1" ht="17.25" customHeight="1">
      <c r="A1" s="2" t="s">
        <v>181</v>
      </c>
      <c r="B1" s="2"/>
      <c r="C1" s="2"/>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row>
    <row r="2" spans="1:248" customFormat="1" ht="17.25" customHeight="1">
      <c r="A2" s="2"/>
      <c r="B2" s="2"/>
      <c r="C2" s="3" t="s">
        <v>182</v>
      </c>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row>
    <row r="3" spans="1:248" customFormat="1" ht="18.75" customHeight="1">
      <c r="A3" s="4">
        <v>1</v>
      </c>
      <c r="B3" s="5"/>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row>
    <row r="4" spans="1:248" customFormat="1" ht="18.75" customHeight="1">
      <c r="A4" s="6">
        <v>2</v>
      </c>
      <c r="B4" s="7"/>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row>
    <row r="5" spans="1:248" customFormat="1" ht="18.75" customHeight="1">
      <c r="A5" s="6">
        <v>3</v>
      </c>
      <c r="B5" s="7"/>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row>
    <row r="6" spans="1:248" customFormat="1" ht="18.75" customHeight="1">
      <c r="A6" s="6">
        <v>4</v>
      </c>
      <c r="B6" s="7"/>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row>
    <row r="7" spans="1:248" customFormat="1" ht="18.75" customHeight="1">
      <c r="A7" s="6">
        <v>5</v>
      </c>
      <c r="B7" s="7"/>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row>
    <row r="8" spans="1:248" customFormat="1" ht="18.75" customHeight="1">
      <c r="A8" s="8">
        <v>6</v>
      </c>
      <c r="B8" s="9"/>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row>
    <row r="9" spans="1:248" customFormat="1" ht="24.9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row>
    <row r="10" spans="1:248" customFormat="1" ht="24.9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row>
    <row r="11" spans="1:248" customFormat="1" ht="24.9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row>
    <row r="12" spans="1:248" customFormat="1" ht="24.9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row>
    <row r="13" spans="1:248" customFormat="1" ht="24.9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row>
    <row r="14" spans="1:248" customFormat="1" ht="24.9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row>
    <row r="15" spans="1:248" customFormat="1" ht="24.9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row>
    <row r="16" spans="1:248" customFormat="1" ht="24.9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row>
  </sheetData>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5527afb-b8b9-4c34-bf2f-d63d25d5fcc1">
      <Terms xmlns="http://schemas.microsoft.com/office/infopath/2007/PartnerControls"/>
    </lcf76f155ced4ddcb4097134ff3c332f>
    <TaxCatchAll xmlns="f1abe126-0466-4b63-99cd-186615957cc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0980F66696EB6419C3C55218A28B387" ma:contentTypeVersion="13" ma:contentTypeDescription="Create a new document." ma:contentTypeScope="" ma:versionID="5ce414dc6c550f123d8cc116bf1185e9">
  <xsd:schema xmlns:xsd="http://www.w3.org/2001/XMLSchema" xmlns:xs="http://www.w3.org/2001/XMLSchema" xmlns:p="http://schemas.microsoft.com/office/2006/metadata/properties" xmlns:ns2="75527afb-b8b9-4c34-bf2f-d63d25d5fcc1" xmlns:ns3="f1abe126-0466-4b63-99cd-186615957cc7" targetNamespace="http://schemas.microsoft.com/office/2006/metadata/properties" ma:root="true" ma:fieldsID="71a745abe79d33a1074a930f656a82b7" ns2:_="" ns3:_="">
    <xsd:import namespace="75527afb-b8b9-4c34-bf2f-d63d25d5fcc1"/>
    <xsd:import namespace="f1abe126-0466-4b63-99cd-186615957c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527afb-b8b9-4c34-bf2f-d63d25d5fc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6d54a90-243b-4616-bf44-507deba25a1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abe126-0466-4b63-99cd-186615957c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dd1a1db-4872-4319-8a2a-24ca049dc98f}" ma:internalName="TaxCatchAll" ma:showField="CatchAllData" ma:web="f1abe126-0466-4b63-99cd-186615957c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8A22DC-4C98-46C8-BBD2-E7E69A143A5D}"/>
</file>

<file path=customXml/itemProps2.xml><?xml version="1.0" encoding="utf-8"?>
<ds:datastoreItem xmlns:ds="http://schemas.openxmlformats.org/officeDocument/2006/customXml" ds:itemID="{96F468F1-2CA0-4199-A6E3-C3A4515D84FD}"/>
</file>

<file path=customXml/itemProps3.xml><?xml version="1.0" encoding="utf-8"?>
<ds:datastoreItem xmlns:ds="http://schemas.openxmlformats.org/officeDocument/2006/customXml" ds:itemID="{C23160D7-48A9-4047-A89E-CD8EDE32CC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dc:creator>
  <cp:keywords/>
  <dc:description/>
  <cp:lastModifiedBy>Henry Bu</cp:lastModifiedBy>
  <cp:revision>1</cp:revision>
  <dcterms:created xsi:type="dcterms:W3CDTF">2007-08-21T15:12:10Z</dcterms:created>
  <dcterms:modified xsi:type="dcterms:W3CDTF">2026-06-28T05:54:54Z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C0493D3350C4402DBB9AE29AD8106A69_13</vt:lpwstr>
  </property>
  <property fmtid="{D5CDD505-2E9C-101B-9397-08002B2CF9AE}" pid="4" name="CalculationRule">
    <vt:r8>0</vt:r8>
  </property>
  <property fmtid="{D5CDD505-2E9C-101B-9397-08002B2CF9AE}" pid="5" name="ContentTypeId">
    <vt:lpwstr>0x01010030980F66696EB6419C3C55218A28B387</vt:lpwstr>
  </property>
  <property fmtid="{D5CDD505-2E9C-101B-9397-08002B2CF9AE}" pid="6" name="_activity">
    <vt:lpwstr/>
  </property>
  <property fmtid="{D5CDD505-2E9C-101B-9397-08002B2CF9AE}" pid="7" name="MediaServiceImageTags">
    <vt:lpwstr/>
  </property>
</Properties>
</file>